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fileSharing readOnlyRecommended="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scripts/"/>
    </mc:Choice>
  </mc:AlternateContent>
  <xr:revisionPtr revIDLastSave="0" documentId="13_ncr:1_{D6453F10-E030-454A-ADAA-DA51212754B4}" xr6:coauthVersionLast="47" xr6:coauthVersionMax="47" xr10:uidLastSave="{00000000-0000-0000-0000-000000000000}"/>
  <bookViews>
    <workbookView xWindow="0" yWindow="600" windowWidth="51200" windowHeight="26400" activeTab="1" xr2:uid="{1D5C550A-6212-F143-B3FD-423F82763F19}"/>
  </bookViews>
  <sheets>
    <sheet name="New LoC Graph" sheetId="5" r:id="rId1"/>
    <sheet name="LineCount" sheetId="4" r:id="rId2"/>
    <sheet name="OriginalTable" sheetId="1" r:id="rId3"/>
    <sheet name="LoC Graph" sheetId="2" r:id="rId4"/>
    <sheet name="Files &amp; Tests" sheetId="3" r:id="rId5"/>
  </sheets>
  <definedNames>
    <definedName name="ExternalData_1" localSheetId="1" hidden="1">LineCount!$A$1:$F$367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4" l="1"/>
  <c r="G3" i="4"/>
  <c r="G4" i="4"/>
  <c r="H4" i="4" s="1"/>
  <c r="G5" i="4"/>
  <c r="H5" i="4" s="1"/>
  <c r="G6" i="4"/>
  <c r="H6" i="4" s="1"/>
  <c r="G7" i="4"/>
  <c r="H7" i="4" s="1"/>
  <c r="G8" i="4"/>
  <c r="H8" i="4" s="1"/>
  <c r="G9" i="4"/>
  <c r="H9" i="4" s="1"/>
  <c r="G10" i="4"/>
  <c r="G11" i="4"/>
  <c r="G12" i="4"/>
  <c r="H12" i="4" s="1"/>
  <c r="G13" i="4"/>
  <c r="H13" i="4" s="1"/>
  <c r="G14" i="4"/>
  <c r="H14" i="4" s="1"/>
  <c r="G15" i="4"/>
  <c r="G16" i="4"/>
  <c r="H16" i="4" s="1"/>
  <c r="G17" i="4"/>
  <c r="H17" i="4" s="1"/>
  <c r="G18" i="4"/>
  <c r="G19" i="4"/>
  <c r="G20" i="4"/>
  <c r="H20" i="4" s="1"/>
  <c r="G21" i="4"/>
  <c r="H21" i="4" s="1"/>
  <c r="G22" i="4"/>
  <c r="H22" i="4" s="1"/>
  <c r="G23" i="4"/>
  <c r="H23" i="4" s="1"/>
  <c r="G24" i="4"/>
  <c r="H24" i="4" s="1"/>
  <c r="G25" i="4"/>
  <c r="H25" i="4" s="1"/>
  <c r="G26" i="4"/>
  <c r="G27" i="4"/>
  <c r="G28" i="4"/>
  <c r="H28" i="4" s="1"/>
  <c r="G29" i="4"/>
  <c r="H29" i="4" s="1"/>
  <c r="G30" i="4"/>
  <c r="H30" i="4" s="1"/>
  <c r="G31" i="4"/>
  <c r="G32" i="4"/>
  <c r="H32" i="4" s="1"/>
  <c r="G33" i="4"/>
  <c r="H33" i="4" s="1"/>
  <c r="G34" i="4"/>
  <c r="G35" i="4"/>
  <c r="G36" i="4"/>
  <c r="H36" i="4" s="1"/>
  <c r="G37" i="4"/>
  <c r="H37" i="4" s="1"/>
  <c r="G38" i="4"/>
  <c r="H38" i="4" s="1"/>
  <c r="G39" i="4"/>
  <c r="H39" i="4" s="1"/>
  <c r="G40" i="4"/>
  <c r="H40" i="4" s="1"/>
  <c r="G41" i="4"/>
  <c r="H41" i="4" s="1"/>
  <c r="G42" i="4"/>
  <c r="G43" i="4"/>
  <c r="G44" i="4"/>
  <c r="H44" i="4" s="1"/>
  <c r="G45" i="4"/>
  <c r="H45" i="4" s="1"/>
  <c r="G46" i="4"/>
  <c r="H46" i="4" s="1"/>
  <c r="G47" i="4"/>
  <c r="G48" i="4"/>
  <c r="H48" i="4" s="1"/>
  <c r="G49" i="4"/>
  <c r="H49" i="4" s="1"/>
  <c r="G50" i="4"/>
  <c r="G51" i="4"/>
  <c r="G52" i="4"/>
  <c r="H52" i="4" s="1"/>
  <c r="G53" i="4"/>
  <c r="H53" i="4" s="1"/>
  <c r="G54" i="4"/>
  <c r="H54" i="4" s="1"/>
  <c r="G55" i="4"/>
  <c r="H55" i="4" s="1"/>
  <c r="G56" i="4"/>
  <c r="H56" i="4" s="1"/>
  <c r="G57" i="4"/>
  <c r="H57" i="4" s="1"/>
  <c r="G58" i="4"/>
  <c r="G59" i="4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G67" i="4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G75" i="4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G83" i="4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G91" i="4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G99" i="4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G107" i="4"/>
  <c r="G108" i="4"/>
  <c r="H108" i="4" s="1"/>
  <c r="G109" i="4"/>
  <c r="H109" i="4" s="1"/>
  <c r="G110" i="4"/>
  <c r="H110" i="4" s="1"/>
  <c r="G111" i="4"/>
  <c r="H111" i="4" s="1"/>
  <c r="G112" i="4"/>
  <c r="H112" i="4" s="1"/>
  <c r="G113" i="4"/>
  <c r="H113" i="4" s="1"/>
  <c r="G114" i="4"/>
  <c r="G115" i="4"/>
  <c r="G116" i="4"/>
  <c r="H116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G123" i="4"/>
  <c r="G124" i="4"/>
  <c r="H124" i="4" s="1"/>
  <c r="G125" i="4"/>
  <c r="H125" i="4" s="1"/>
  <c r="G126" i="4"/>
  <c r="H126" i="4" s="1"/>
  <c r="G127" i="4"/>
  <c r="H127" i="4" s="1"/>
  <c r="G128" i="4"/>
  <c r="H128" i="4" s="1"/>
  <c r="G129" i="4"/>
  <c r="H129" i="4" s="1"/>
  <c r="G130" i="4"/>
  <c r="G131" i="4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G139" i="4"/>
  <c r="G140" i="4"/>
  <c r="H140" i="4" s="1"/>
  <c r="G141" i="4"/>
  <c r="H141" i="4" s="1"/>
  <c r="G142" i="4"/>
  <c r="H142" i="4" s="1"/>
  <c r="G143" i="4"/>
  <c r="H143" i="4" s="1"/>
  <c r="G144" i="4"/>
  <c r="H144" i="4" s="1"/>
  <c r="G145" i="4"/>
  <c r="H145" i="4" s="1"/>
  <c r="G146" i="4"/>
  <c r="G147" i="4"/>
  <c r="G148" i="4"/>
  <c r="H148" i="4" s="1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G155" i="4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G163" i="4"/>
  <c r="G164" i="4"/>
  <c r="H164" i="4" s="1"/>
  <c r="G165" i="4"/>
  <c r="H165" i="4" s="1"/>
  <c r="G166" i="4"/>
  <c r="H166" i="4" s="1"/>
  <c r="G167" i="4"/>
  <c r="H167" i="4" s="1"/>
  <c r="G168" i="4"/>
  <c r="H168" i="4" s="1"/>
  <c r="G169" i="4"/>
  <c r="H169" i="4" s="1"/>
  <c r="G170" i="4"/>
  <c r="G171" i="4"/>
  <c r="G172" i="4"/>
  <c r="H172" i="4" s="1"/>
  <c r="G173" i="4"/>
  <c r="H173" i="4" s="1"/>
  <c r="G174" i="4"/>
  <c r="H174" i="4" s="1"/>
  <c r="G175" i="4"/>
  <c r="H175" i="4" s="1"/>
  <c r="G176" i="4"/>
  <c r="H176" i="4" s="1"/>
  <c r="G177" i="4"/>
  <c r="H177" i="4" s="1"/>
  <c r="G178" i="4"/>
  <c r="G179" i="4"/>
  <c r="G180" i="4"/>
  <c r="H180" i="4" s="1"/>
  <c r="G181" i="4"/>
  <c r="H181" i="4" s="1"/>
  <c r="G182" i="4"/>
  <c r="H182" i="4" s="1"/>
  <c r="G183" i="4"/>
  <c r="H183" i="4" s="1"/>
  <c r="G184" i="4"/>
  <c r="H184" i="4" s="1"/>
  <c r="G185" i="4"/>
  <c r="H185" i="4" s="1"/>
  <c r="G186" i="4"/>
  <c r="G187" i="4"/>
  <c r="G188" i="4"/>
  <c r="H188" i="4" s="1"/>
  <c r="G189" i="4"/>
  <c r="H189" i="4" s="1"/>
  <c r="G190" i="4"/>
  <c r="H190" i="4" s="1"/>
  <c r="G191" i="4"/>
  <c r="H191" i="4" s="1"/>
  <c r="G192" i="4"/>
  <c r="H192" i="4" s="1"/>
  <c r="G193" i="4"/>
  <c r="H193" i="4" s="1"/>
  <c r="G194" i="4"/>
  <c r="G195" i="4"/>
  <c r="G196" i="4"/>
  <c r="H196" i="4" s="1"/>
  <c r="G197" i="4"/>
  <c r="H197" i="4" s="1"/>
  <c r="G198" i="4"/>
  <c r="H198" i="4" s="1"/>
  <c r="G199" i="4"/>
  <c r="H199" i="4" s="1"/>
  <c r="G200" i="4"/>
  <c r="H200" i="4" s="1"/>
  <c r="G201" i="4"/>
  <c r="H201" i="4" s="1"/>
  <c r="G202" i="4"/>
  <c r="G203" i="4"/>
  <c r="G204" i="4"/>
  <c r="H204" i="4" s="1"/>
  <c r="G205" i="4"/>
  <c r="H205" i="4" s="1"/>
  <c r="G206" i="4"/>
  <c r="H206" i="4" s="1"/>
  <c r="G207" i="4"/>
  <c r="H207" i="4" s="1"/>
  <c r="G208" i="4"/>
  <c r="H208" i="4" s="1"/>
  <c r="G209" i="4"/>
  <c r="H209" i="4" s="1"/>
  <c r="G210" i="4"/>
  <c r="G211" i="4"/>
  <c r="G212" i="4"/>
  <c r="H212" i="4" s="1"/>
  <c r="G213" i="4"/>
  <c r="H213" i="4" s="1"/>
  <c r="G214" i="4"/>
  <c r="H214" i="4" s="1"/>
  <c r="G215" i="4"/>
  <c r="H215" i="4" s="1"/>
  <c r="G216" i="4"/>
  <c r="H216" i="4" s="1"/>
  <c r="G217" i="4"/>
  <c r="H217" i="4" s="1"/>
  <c r="G218" i="4"/>
  <c r="G219" i="4"/>
  <c r="G220" i="4"/>
  <c r="H220" i="4" s="1"/>
  <c r="G221" i="4"/>
  <c r="H221" i="4" s="1"/>
  <c r="G222" i="4"/>
  <c r="H222" i="4" s="1"/>
  <c r="G223" i="4"/>
  <c r="H223" i="4" s="1"/>
  <c r="G224" i="4"/>
  <c r="H224" i="4" s="1"/>
  <c r="G225" i="4"/>
  <c r="H225" i="4" s="1"/>
  <c r="G226" i="4"/>
  <c r="G227" i="4"/>
  <c r="G228" i="4"/>
  <c r="H228" i="4" s="1"/>
  <c r="G229" i="4"/>
  <c r="H229" i="4" s="1"/>
  <c r="G230" i="4"/>
  <c r="H230" i="4" s="1"/>
  <c r="G231" i="4"/>
  <c r="H231" i="4" s="1"/>
  <c r="G232" i="4"/>
  <c r="H232" i="4" s="1"/>
  <c r="G233" i="4"/>
  <c r="H233" i="4" s="1"/>
  <c r="G234" i="4"/>
  <c r="G235" i="4"/>
  <c r="G236" i="4"/>
  <c r="H236" i="4" s="1"/>
  <c r="G237" i="4"/>
  <c r="H237" i="4" s="1"/>
  <c r="G238" i="4"/>
  <c r="H238" i="4" s="1"/>
  <c r="G239" i="4"/>
  <c r="H239" i="4" s="1"/>
  <c r="G240" i="4"/>
  <c r="H240" i="4" s="1"/>
  <c r="G241" i="4"/>
  <c r="H241" i="4" s="1"/>
  <c r="G242" i="4"/>
  <c r="G243" i="4"/>
  <c r="G244" i="4"/>
  <c r="H244" i="4" s="1"/>
  <c r="G245" i="4"/>
  <c r="H245" i="4" s="1"/>
  <c r="G246" i="4"/>
  <c r="H246" i="4" s="1"/>
  <c r="G247" i="4"/>
  <c r="H247" i="4" s="1"/>
  <c r="G248" i="4"/>
  <c r="H248" i="4" s="1"/>
  <c r="G249" i="4"/>
  <c r="H249" i="4" s="1"/>
  <c r="G250" i="4"/>
  <c r="G251" i="4"/>
  <c r="G252" i="4"/>
  <c r="H252" i="4" s="1"/>
  <c r="G253" i="4"/>
  <c r="H253" i="4" s="1"/>
  <c r="G254" i="4"/>
  <c r="H254" i="4" s="1"/>
  <c r="G255" i="4"/>
  <c r="H255" i="4" s="1"/>
  <c r="G256" i="4"/>
  <c r="H256" i="4" s="1"/>
  <c r="G257" i="4"/>
  <c r="H257" i="4" s="1"/>
  <c r="G258" i="4"/>
  <c r="G259" i="4"/>
  <c r="G260" i="4"/>
  <c r="H260" i="4" s="1"/>
  <c r="G261" i="4"/>
  <c r="H261" i="4" s="1"/>
  <c r="G262" i="4"/>
  <c r="H262" i="4" s="1"/>
  <c r="G263" i="4"/>
  <c r="H263" i="4" s="1"/>
  <c r="G264" i="4"/>
  <c r="H264" i="4" s="1"/>
  <c r="G265" i="4"/>
  <c r="H265" i="4" s="1"/>
  <c r="G266" i="4"/>
  <c r="G267" i="4"/>
  <c r="G268" i="4"/>
  <c r="H268" i="4" s="1"/>
  <c r="G269" i="4"/>
  <c r="H269" i="4" s="1"/>
  <c r="G270" i="4"/>
  <c r="H270" i="4" s="1"/>
  <c r="G271" i="4"/>
  <c r="H271" i="4" s="1"/>
  <c r="G272" i="4"/>
  <c r="H272" i="4" s="1"/>
  <c r="G273" i="4"/>
  <c r="H273" i="4" s="1"/>
  <c r="G274" i="4"/>
  <c r="G275" i="4"/>
  <c r="G276" i="4"/>
  <c r="H276" i="4" s="1"/>
  <c r="G277" i="4"/>
  <c r="H277" i="4" s="1"/>
  <c r="G278" i="4"/>
  <c r="H278" i="4" s="1"/>
  <c r="G279" i="4"/>
  <c r="H279" i="4" s="1"/>
  <c r="G280" i="4"/>
  <c r="H280" i="4" s="1"/>
  <c r="G281" i="4"/>
  <c r="H281" i="4" s="1"/>
  <c r="G282" i="4"/>
  <c r="G283" i="4"/>
  <c r="G284" i="4"/>
  <c r="H284" i="4" s="1"/>
  <c r="G285" i="4"/>
  <c r="H285" i="4" s="1"/>
  <c r="G286" i="4"/>
  <c r="H286" i="4" s="1"/>
  <c r="G287" i="4"/>
  <c r="H287" i="4" s="1"/>
  <c r="G288" i="4"/>
  <c r="H288" i="4" s="1"/>
  <c r="G289" i="4"/>
  <c r="H289" i="4" s="1"/>
  <c r="G290" i="4"/>
  <c r="G291" i="4"/>
  <c r="G292" i="4"/>
  <c r="H292" i="4" s="1"/>
  <c r="G293" i="4"/>
  <c r="H293" i="4" s="1"/>
  <c r="G294" i="4"/>
  <c r="H294" i="4" s="1"/>
  <c r="G295" i="4"/>
  <c r="H295" i="4" s="1"/>
  <c r="G296" i="4"/>
  <c r="H296" i="4" s="1"/>
  <c r="G297" i="4"/>
  <c r="H297" i="4" s="1"/>
  <c r="G298" i="4"/>
  <c r="G299" i="4"/>
  <c r="G300" i="4"/>
  <c r="H300" i="4" s="1"/>
  <c r="G301" i="4"/>
  <c r="H301" i="4" s="1"/>
  <c r="G302" i="4"/>
  <c r="H302" i="4" s="1"/>
  <c r="G303" i="4"/>
  <c r="H303" i="4" s="1"/>
  <c r="G304" i="4"/>
  <c r="H304" i="4" s="1"/>
  <c r="G305" i="4"/>
  <c r="H305" i="4" s="1"/>
  <c r="G306" i="4"/>
  <c r="G307" i="4"/>
  <c r="G308" i="4"/>
  <c r="H308" i="4" s="1"/>
  <c r="G309" i="4"/>
  <c r="H309" i="4" s="1"/>
  <c r="G310" i="4"/>
  <c r="H310" i="4" s="1"/>
  <c r="G311" i="4"/>
  <c r="H311" i="4" s="1"/>
  <c r="G312" i="4"/>
  <c r="H312" i="4" s="1"/>
  <c r="G313" i="4"/>
  <c r="H313" i="4" s="1"/>
  <c r="G314" i="4"/>
  <c r="G315" i="4"/>
  <c r="G316" i="4"/>
  <c r="H316" i="4" s="1"/>
  <c r="G317" i="4"/>
  <c r="H317" i="4" s="1"/>
  <c r="G318" i="4"/>
  <c r="H318" i="4" s="1"/>
  <c r="G319" i="4"/>
  <c r="H319" i="4" s="1"/>
  <c r="G320" i="4"/>
  <c r="H320" i="4" s="1"/>
  <c r="G321" i="4"/>
  <c r="H321" i="4" s="1"/>
  <c r="G322" i="4"/>
  <c r="G323" i="4"/>
  <c r="G324" i="4"/>
  <c r="H324" i="4" s="1"/>
  <c r="G325" i="4"/>
  <c r="H325" i="4" s="1"/>
  <c r="G326" i="4"/>
  <c r="H326" i="4" s="1"/>
  <c r="G327" i="4"/>
  <c r="H327" i="4" s="1"/>
  <c r="G328" i="4"/>
  <c r="H328" i="4" s="1"/>
  <c r="G329" i="4"/>
  <c r="H329" i="4" s="1"/>
  <c r="G330" i="4"/>
  <c r="G331" i="4"/>
  <c r="G332" i="4"/>
  <c r="H332" i="4" s="1"/>
  <c r="G333" i="4"/>
  <c r="H333" i="4" s="1"/>
  <c r="G334" i="4"/>
  <c r="H334" i="4" s="1"/>
  <c r="G335" i="4"/>
  <c r="H335" i="4" s="1"/>
  <c r="G336" i="4"/>
  <c r="H336" i="4" s="1"/>
  <c r="G337" i="4"/>
  <c r="H337" i="4" s="1"/>
  <c r="G338" i="4"/>
  <c r="G339" i="4"/>
  <c r="G340" i="4"/>
  <c r="H340" i="4" s="1"/>
  <c r="G341" i="4"/>
  <c r="H341" i="4" s="1"/>
  <c r="G342" i="4"/>
  <c r="H342" i="4" s="1"/>
  <c r="G343" i="4"/>
  <c r="H343" i="4" s="1"/>
  <c r="G344" i="4"/>
  <c r="H344" i="4" s="1"/>
  <c r="G345" i="4"/>
  <c r="H345" i="4" s="1"/>
  <c r="G346" i="4"/>
  <c r="G347" i="4"/>
  <c r="G348" i="4"/>
  <c r="H348" i="4" s="1"/>
  <c r="G349" i="4"/>
  <c r="H349" i="4" s="1"/>
  <c r="G350" i="4"/>
  <c r="H350" i="4" s="1"/>
  <c r="G351" i="4"/>
  <c r="H351" i="4" s="1"/>
  <c r="G352" i="4"/>
  <c r="H352" i="4" s="1"/>
  <c r="G353" i="4"/>
  <c r="H353" i="4" s="1"/>
  <c r="G354" i="4"/>
  <c r="G355" i="4"/>
  <c r="G356" i="4"/>
  <c r="H356" i="4" s="1"/>
  <c r="G357" i="4"/>
  <c r="H357" i="4" s="1"/>
  <c r="G358" i="4"/>
  <c r="H358" i="4" s="1"/>
  <c r="G359" i="4"/>
  <c r="H359" i="4" s="1"/>
  <c r="G360" i="4"/>
  <c r="H360" i="4" s="1"/>
  <c r="G361" i="4"/>
  <c r="H361" i="4" s="1"/>
  <c r="G362" i="4"/>
  <c r="G363" i="4"/>
  <c r="G364" i="4"/>
  <c r="H364" i="4" s="1"/>
  <c r="G365" i="4"/>
  <c r="H365" i="4" s="1"/>
  <c r="G366" i="4"/>
  <c r="H366" i="4" s="1"/>
  <c r="G367" i="4"/>
  <c r="H367" i="4" s="1"/>
  <c r="H2" i="4"/>
  <c r="H3" i="4"/>
  <c r="H10" i="4"/>
  <c r="H11" i="4"/>
  <c r="H15" i="4"/>
  <c r="H18" i="4"/>
  <c r="H19" i="4"/>
  <c r="H26" i="4"/>
  <c r="H27" i="4"/>
  <c r="H31" i="4"/>
  <c r="H34" i="4"/>
  <c r="H35" i="4"/>
  <c r="H42" i="4"/>
  <c r="H43" i="4"/>
  <c r="H47" i="4"/>
  <c r="H50" i="4"/>
  <c r="H51" i="4"/>
  <c r="H58" i="4"/>
  <c r="H59" i="4"/>
  <c r="H66" i="4"/>
  <c r="H67" i="4"/>
  <c r="H74" i="4"/>
  <c r="H75" i="4"/>
  <c r="H82" i="4"/>
  <c r="H83" i="4"/>
  <c r="H90" i="4"/>
  <c r="H91" i="4"/>
  <c r="H98" i="4"/>
  <c r="H99" i="4"/>
  <c r="H106" i="4"/>
  <c r="H107" i="4"/>
  <c r="H114" i="4"/>
  <c r="H115" i="4"/>
  <c r="H122" i="4"/>
  <c r="H123" i="4"/>
  <c r="H130" i="4"/>
  <c r="H131" i="4"/>
  <c r="H138" i="4"/>
  <c r="H139" i="4"/>
  <c r="H146" i="4"/>
  <c r="H147" i="4"/>
  <c r="H154" i="4"/>
  <c r="H155" i="4"/>
  <c r="H162" i="4"/>
  <c r="H163" i="4"/>
  <c r="H170" i="4"/>
  <c r="H171" i="4"/>
  <c r="H178" i="4"/>
  <c r="H179" i="4"/>
  <c r="H186" i="4"/>
  <c r="H187" i="4"/>
  <c r="H194" i="4"/>
  <c r="H195" i="4"/>
  <c r="H202" i="4"/>
  <c r="H203" i="4"/>
  <c r="H210" i="4"/>
  <c r="H211" i="4"/>
  <c r="H218" i="4"/>
  <c r="H219" i="4"/>
  <c r="H226" i="4"/>
  <c r="H227" i="4"/>
  <c r="H234" i="4"/>
  <c r="H235" i="4"/>
  <c r="H242" i="4"/>
  <c r="H243" i="4"/>
  <c r="H250" i="4"/>
  <c r="H251" i="4"/>
  <c r="H258" i="4"/>
  <c r="H259" i="4"/>
  <c r="H266" i="4"/>
  <c r="H267" i="4"/>
  <c r="H274" i="4"/>
  <c r="H275" i="4"/>
  <c r="H282" i="4"/>
  <c r="H283" i="4"/>
  <c r="H290" i="4"/>
  <c r="H291" i="4"/>
  <c r="H298" i="4"/>
  <c r="H299" i="4"/>
  <c r="H306" i="4"/>
  <c r="H307" i="4"/>
  <c r="H314" i="4"/>
  <c r="H315" i="4"/>
  <c r="H322" i="4"/>
  <c r="H323" i="4"/>
  <c r="H330" i="4"/>
  <c r="H331" i="4"/>
  <c r="H338" i="4"/>
  <c r="H339" i="4"/>
  <c r="H346" i="4"/>
  <c r="H347" i="4"/>
  <c r="H354" i="4"/>
  <c r="H355" i="4"/>
  <c r="H362" i="4"/>
  <c r="H363" i="4"/>
  <c r="H359" i="1"/>
  <c r="C359" i="1"/>
  <c r="H358" i="1"/>
  <c r="C358" i="1"/>
  <c r="H357" i="1"/>
  <c r="H356" i="1"/>
  <c r="H355" i="1"/>
  <c r="C357" i="1"/>
  <c r="C356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E8C594-3D1B-6847-8F9C-F2E6D93E90DA}" keepAlive="1" name="Query - LineCount" description="Connection to the 'LineCount' query in the workbook." type="5" refreshedVersion="8" background="1" refreshOnLoad="1" saveData="1">
    <dbPr connection="Provider=Microsoft.Mashup.OleDb.1;Data Source=$Workbook$;Location=LineCount;Extended Properties=&quot;&quot;" command="SELECT * FROM [LineCount]"/>
  </connection>
</connections>
</file>

<file path=xl/sharedStrings.xml><?xml version="1.0" encoding="utf-8"?>
<sst xmlns="http://schemas.openxmlformats.org/spreadsheetml/2006/main" count="27" uniqueCount="19">
  <si>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</si>
  <si>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</si>
  <si>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</si>
  <si>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</si>
  <si>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</si>
  <si>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</si>
  <si>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</si>
  <si>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</si>
  <si>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</si>
  <si>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</si>
  <si>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</si>
  <si>
    <t>date</t>
  </si>
  <si>
    <t>files</t>
  </si>
  <si>
    <t>code</t>
  </si>
  <si>
    <t>comments</t>
  </si>
  <si>
    <t>blanks</t>
  </si>
  <si>
    <t>tests</t>
  </si>
  <si>
    <t>total lines</t>
  </si>
  <si>
    <t>avg lines per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</si>
</sst>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165" fontId="0" fillId="0" borderId="0" xfId="1" applyNumberFormat="1" applyFont="1"/>
    <xf numFmtId="0" fontId="1" fillId="4" borderId="0" xfId="3"/>
    <xf numFmtId="0" fontId="0" fillId="4" borderId="0" xfId="3" applyFont="1"/>
    <xf numFmtId="165" fontId="0" fillId="5" borderId="0" xfId="4" applyNumberFormat="1" applyFon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5">
    <cellStyle name="20% - Accent1" xfId="3" builtinId="30"/>
    <cellStyle name="40% - Accent3" xfId="2" builtinId="39"/>
    <cellStyle name="Accent3" xfId="4" builtinId="37"/>
    <cellStyle name="Comma" xfId="1" builtinId="3"/>
    <cellStyle name="Normal" xfId="0" builtinId="0"/>
  </cellStyles>
  <dxfs count="3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 * #,##0_ ;_ * \-#,##0_ ;_ 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m/d/yy"/>
    </dxf>
  </dxfs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strRef>
              <c:f>LineCount!$C$1</c:f>
              <c:strCache>
                <c:ptCount val="1"/>
                <c:pt idx="0">
                  <c:v>code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LineCount!$A$2:$A$367</c:f>
              <c:numCache>
                <c:formatCode>m/d/yy</c:formatCode>
                <c:ptCount val="366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  <c:pt idx="362">
                  <c:v>46221</c:v>
                </c:pt>
                <c:pt idx="363">
                  <c:v>46222</c:v>
                </c:pt>
                <c:pt idx="364">
                  <c:v>46223</c:v>
                </c:pt>
                <c:pt idx="365">
                  <c:v>46224</c:v>
                </c:pt>
              </c:numCache>
            </c:numRef>
          </c:xVal>
          <c:yVal>
            <c:numRef>
              <c:f>LineCount!$C$2:$C$367</c:f>
              <c:numCache>
                <c:formatCode>General</c:formatCode>
                <c:ptCount val="366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11618</c:v>
                </c:pt>
                <c:pt idx="357">
                  <c:v>10952</c:v>
                </c:pt>
                <c:pt idx="358">
                  <c:v>10952</c:v>
                </c:pt>
                <c:pt idx="359">
                  <c:v>10959</c:v>
                </c:pt>
                <c:pt idx="360">
                  <c:v>10960</c:v>
                </c:pt>
                <c:pt idx="361">
                  <c:v>11247</c:v>
                </c:pt>
                <c:pt idx="362">
                  <c:v>11279</c:v>
                </c:pt>
                <c:pt idx="363">
                  <c:v>11279</c:v>
                </c:pt>
                <c:pt idx="364">
                  <c:v>11307</c:v>
                </c:pt>
                <c:pt idx="365">
                  <c:v>11307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D2-4947-855D-AB34C8614993}"/>
            </c:ext>
          </c:extLst>
        </c:ser>
        <c:ser>
          <c:idx val="0"/>
          <c:order val="1"/>
          <c:tx>
            <c:strRef>
              <c:f>LineCount!$D$1</c:f>
              <c:strCache>
                <c:ptCount val="1"/>
                <c:pt idx="0">
                  <c:v>comments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LineCount!$A$2:$A$367</c:f>
              <c:numCache>
                <c:formatCode>m/d/yy</c:formatCode>
                <c:ptCount val="366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  <c:pt idx="362">
                  <c:v>46221</c:v>
                </c:pt>
                <c:pt idx="363">
                  <c:v>46222</c:v>
                </c:pt>
                <c:pt idx="364">
                  <c:v>46223</c:v>
                </c:pt>
                <c:pt idx="365">
                  <c:v>46224</c:v>
                </c:pt>
              </c:numCache>
            </c:numRef>
          </c:xVal>
          <c:yVal>
            <c:numRef>
              <c:f>LineCount!$D$2:$D$367</c:f>
              <c:numCache>
                <c:formatCode>General</c:formatCode>
                <c:ptCount val="366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2215</c:v>
                </c:pt>
                <c:pt idx="357">
                  <c:v>2514</c:v>
                </c:pt>
                <c:pt idx="358">
                  <c:v>2514</c:v>
                </c:pt>
                <c:pt idx="359">
                  <c:v>2514</c:v>
                </c:pt>
                <c:pt idx="360">
                  <c:v>2516</c:v>
                </c:pt>
                <c:pt idx="361">
                  <c:v>2675</c:v>
                </c:pt>
                <c:pt idx="362">
                  <c:v>2718</c:v>
                </c:pt>
                <c:pt idx="363">
                  <c:v>2718</c:v>
                </c:pt>
                <c:pt idx="364">
                  <c:v>2726</c:v>
                </c:pt>
                <c:pt idx="365">
                  <c:v>2726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D2-4947-855D-AB34C8614993}"/>
            </c:ext>
          </c:extLst>
        </c:ser>
        <c:ser>
          <c:idx val="2"/>
          <c:order val="2"/>
          <c:tx>
            <c:strRef>
              <c:f>LineCount!$E$1</c:f>
              <c:strCache>
                <c:ptCount val="1"/>
                <c:pt idx="0">
                  <c:v>blanks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LineCount!$A$2:$A$367</c:f>
              <c:numCache>
                <c:formatCode>m/d/yy</c:formatCode>
                <c:ptCount val="366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  <c:pt idx="362">
                  <c:v>46221</c:v>
                </c:pt>
                <c:pt idx="363">
                  <c:v>46222</c:v>
                </c:pt>
                <c:pt idx="364">
                  <c:v>46223</c:v>
                </c:pt>
                <c:pt idx="365">
                  <c:v>46224</c:v>
                </c:pt>
              </c:numCache>
            </c:numRef>
          </c:xVal>
          <c:yVal>
            <c:numRef>
              <c:f>LineCount!$E$2:$E$367</c:f>
              <c:numCache>
                <c:formatCode>General</c:formatCode>
                <c:ptCount val="366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1748</c:v>
                </c:pt>
                <c:pt idx="357">
                  <c:v>2115</c:v>
                </c:pt>
                <c:pt idx="358">
                  <c:v>2115</c:v>
                </c:pt>
                <c:pt idx="359">
                  <c:v>2115</c:v>
                </c:pt>
                <c:pt idx="360">
                  <c:v>2115</c:v>
                </c:pt>
                <c:pt idx="361">
                  <c:v>2176</c:v>
                </c:pt>
                <c:pt idx="362">
                  <c:v>2189</c:v>
                </c:pt>
                <c:pt idx="363">
                  <c:v>2189</c:v>
                </c:pt>
                <c:pt idx="364">
                  <c:v>2198</c:v>
                </c:pt>
                <c:pt idx="365">
                  <c:v>2198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D2-4947-855D-AB34C8614993}"/>
            </c:ext>
          </c:extLst>
        </c:ser>
        <c:ser>
          <c:idx val="3"/>
          <c:order val="3"/>
          <c:tx>
            <c:strRef>
              <c:f>LineCount!$G$1</c:f>
              <c:strCache>
                <c:ptCount val="1"/>
                <c:pt idx="0">
                  <c:v>total lines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LineCount!$A$2:$A$367</c:f>
              <c:numCache>
                <c:formatCode>m/d/yy</c:formatCode>
                <c:ptCount val="366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  <c:pt idx="358">
                  <c:v>46215</c:v>
                </c:pt>
                <c:pt idx="359">
                  <c:v>46216</c:v>
                </c:pt>
                <c:pt idx="360">
                  <c:v>46218</c:v>
                </c:pt>
                <c:pt idx="361">
                  <c:v>46220</c:v>
                </c:pt>
                <c:pt idx="362">
                  <c:v>46221</c:v>
                </c:pt>
                <c:pt idx="363">
                  <c:v>46222</c:v>
                </c:pt>
                <c:pt idx="364">
                  <c:v>46223</c:v>
                </c:pt>
                <c:pt idx="365">
                  <c:v>46224</c:v>
                </c:pt>
              </c:numCache>
            </c:numRef>
          </c:xVal>
          <c:yVal>
            <c:numRef>
              <c:f>LineCount!$G$2:$G$367</c:f>
              <c:numCache>
                <c:formatCode>General</c:formatCode>
                <c:ptCount val="366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>
                  <c:v>7333</c:v>
                </c:pt>
                <c:pt idx="209">
                  <c:v>7314</c:v>
                </c:pt>
                <c:pt idx="210">
                  <c:v>7314</c:v>
                </c:pt>
                <c:pt idx="211">
                  <c:v>7328</c:v>
                </c:pt>
                <c:pt idx="212">
                  <c:v>7333</c:v>
                </c:pt>
                <c:pt idx="213">
                  <c:v>7358</c:v>
                </c:pt>
                <c:pt idx="214">
                  <c:v>7358</c:v>
                </c:pt>
                <c:pt idx="215">
                  <c:v>7463</c:v>
                </c:pt>
                <c:pt idx="216">
                  <c:v>7569</c:v>
                </c:pt>
                <c:pt idx="217">
                  <c:v>7577</c:v>
                </c:pt>
                <c:pt idx="218">
                  <c:v>7603</c:v>
                </c:pt>
                <c:pt idx="219">
                  <c:v>7641</c:v>
                </c:pt>
                <c:pt idx="220">
                  <c:v>7668</c:v>
                </c:pt>
                <c:pt idx="221">
                  <c:v>7707</c:v>
                </c:pt>
                <c:pt idx="222">
                  <c:v>7734</c:v>
                </c:pt>
                <c:pt idx="223">
                  <c:v>7798</c:v>
                </c:pt>
                <c:pt idx="224">
                  <c:v>7787</c:v>
                </c:pt>
                <c:pt idx="225">
                  <c:v>7786</c:v>
                </c:pt>
                <c:pt idx="226">
                  <c:v>7845</c:v>
                </c:pt>
                <c:pt idx="227">
                  <c:v>7843</c:v>
                </c:pt>
                <c:pt idx="228">
                  <c:v>7845</c:v>
                </c:pt>
                <c:pt idx="229">
                  <c:v>7806</c:v>
                </c:pt>
                <c:pt idx="230">
                  <c:v>7805</c:v>
                </c:pt>
                <c:pt idx="231">
                  <c:v>7780</c:v>
                </c:pt>
                <c:pt idx="232">
                  <c:v>7830</c:v>
                </c:pt>
                <c:pt idx="233">
                  <c:v>7902</c:v>
                </c:pt>
                <c:pt idx="234">
                  <c:v>7922</c:v>
                </c:pt>
                <c:pt idx="235">
                  <c:v>7969</c:v>
                </c:pt>
                <c:pt idx="236">
                  <c:v>7956</c:v>
                </c:pt>
                <c:pt idx="237">
                  <c:v>8091</c:v>
                </c:pt>
                <c:pt idx="238">
                  <c:v>8053</c:v>
                </c:pt>
                <c:pt idx="239">
                  <c:v>8078</c:v>
                </c:pt>
                <c:pt idx="240">
                  <c:v>8305</c:v>
                </c:pt>
                <c:pt idx="241">
                  <c:v>8312</c:v>
                </c:pt>
                <c:pt idx="242">
                  <c:v>8381</c:v>
                </c:pt>
                <c:pt idx="243">
                  <c:v>8487</c:v>
                </c:pt>
                <c:pt idx="244">
                  <c:v>8588</c:v>
                </c:pt>
                <c:pt idx="245">
                  <c:v>8622</c:v>
                </c:pt>
                <c:pt idx="246">
                  <c:v>8649</c:v>
                </c:pt>
                <c:pt idx="247">
                  <c:v>8391</c:v>
                </c:pt>
                <c:pt idx="248">
                  <c:v>8387</c:v>
                </c:pt>
                <c:pt idx="249">
                  <c:v>8381</c:v>
                </c:pt>
                <c:pt idx="250">
                  <c:v>8449</c:v>
                </c:pt>
                <c:pt idx="251">
                  <c:v>8457</c:v>
                </c:pt>
                <c:pt idx="252">
                  <c:v>8458</c:v>
                </c:pt>
                <c:pt idx="253">
                  <c:v>7052</c:v>
                </c:pt>
                <c:pt idx="254">
                  <c:v>7060</c:v>
                </c:pt>
                <c:pt idx="255">
                  <c:v>6950</c:v>
                </c:pt>
                <c:pt idx="256">
                  <c:v>6953</c:v>
                </c:pt>
                <c:pt idx="257">
                  <c:v>6968</c:v>
                </c:pt>
                <c:pt idx="258">
                  <c:v>6665</c:v>
                </c:pt>
                <c:pt idx="259">
                  <c:v>6699</c:v>
                </c:pt>
                <c:pt idx="260">
                  <c:v>6387</c:v>
                </c:pt>
                <c:pt idx="261">
                  <c:v>6390</c:v>
                </c:pt>
                <c:pt idx="262">
                  <c:v>6362</c:v>
                </c:pt>
                <c:pt idx="263">
                  <c:v>6487</c:v>
                </c:pt>
                <c:pt idx="264">
                  <c:v>6370</c:v>
                </c:pt>
                <c:pt idx="265">
                  <c:v>6370</c:v>
                </c:pt>
                <c:pt idx="266">
                  <c:v>6365</c:v>
                </c:pt>
                <c:pt idx="267">
                  <c:v>6496</c:v>
                </c:pt>
                <c:pt idx="268">
                  <c:v>6393</c:v>
                </c:pt>
                <c:pt idx="269">
                  <c:v>6414</c:v>
                </c:pt>
                <c:pt idx="270">
                  <c:v>6434</c:v>
                </c:pt>
                <c:pt idx="271">
                  <c:v>7377</c:v>
                </c:pt>
                <c:pt idx="272">
                  <c:v>7467</c:v>
                </c:pt>
                <c:pt idx="273">
                  <c:v>7684</c:v>
                </c:pt>
                <c:pt idx="274">
                  <c:v>7773</c:v>
                </c:pt>
                <c:pt idx="275">
                  <c:v>7781</c:v>
                </c:pt>
                <c:pt idx="276">
                  <c:v>7956</c:v>
                </c:pt>
                <c:pt idx="277">
                  <c:v>7934</c:v>
                </c:pt>
                <c:pt idx="278">
                  <c:v>8037</c:v>
                </c:pt>
                <c:pt idx="279">
                  <c:v>8280</c:v>
                </c:pt>
                <c:pt idx="280">
                  <c:v>8306</c:v>
                </c:pt>
                <c:pt idx="281">
                  <c:v>8345</c:v>
                </c:pt>
                <c:pt idx="282">
                  <c:v>8453</c:v>
                </c:pt>
                <c:pt idx="283">
                  <c:v>8499</c:v>
                </c:pt>
                <c:pt idx="284">
                  <c:v>8569</c:v>
                </c:pt>
                <c:pt idx="285">
                  <c:v>8559</c:v>
                </c:pt>
                <c:pt idx="286">
                  <c:v>8561</c:v>
                </c:pt>
                <c:pt idx="287">
                  <c:v>8080</c:v>
                </c:pt>
                <c:pt idx="288">
                  <c:v>8129</c:v>
                </c:pt>
                <c:pt idx="289">
                  <c:v>8159</c:v>
                </c:pt>
                <c:pt idx="290">
                  <c:v>8269</c:v>
                </c:pt>
                <c:pt idx="291">
                  <c:v>8646</c:v>
                </c:pt>
                <c:pt idx="292">
                  <c:v>8324</c:v>
                </c:pt>
                <c:pt idx="293">
                  <c:v>8437</c:v>
                </c:pt>
                <c:pt idx="294">
                  <c:v>8462</c:v>
                </c:pt>
                <c:pt idx="295">
                  <c:v>8531</c:v>
                </c:pt>
                <c:pt idx="296">
                  <c:v>8537</c:v>
                </c:pt>
                <c:pt idx="297">
                  <c:v>8550</c:v>
                </c:pt>
                <c:pt idx="298">
                  <c:v>8562</c:v>
                </c:pt>
                <c:pt idx="299">
                  <c:v>8562</c:v>
                </c:pt>
                <c:pt idx="300">
                  <c:v>8619</c:v>
                </c:pt>
                <c:pt idx="301">
                  <c:v>8639</c:v>
                </c:pt>
                <c:pt idx="302">
                  <c:v>8639</c:v>
                </c:pt>
                <c:pt idx="303">
                  <c:v>8651</c:v>
                </c:pt>
                <c:pt idx="304">
                  <c:v>8728</c:v>
                </c:pt>
                <c:pt idx="305">
                  <c:v>8904</c:v>
                </c:pt>
                <c:pt idx="306">
                  <c:v>8971</c:v>
                </c:pt>
                <c:pt idx="307">
                  <c:v>9040</c:v>
                </c:pt>
                <c:pt idx="308">
                  <c:v>10652</c:v>
                </c:pt>
                <c:pt idx="309">
                  <c:v>10876</c:v>
                </c:pt>
                <c:pt idx="310">
                  <c:v>11103</c:v>
                </c:pt>
                <c:pt idx="311">
                  <c:v>11108</c:v>
                </c:pt>
                <c:pt idx="312">
                  <c:v>11162</c:v>
                </c:pt>
                <c:pt idx="313">
                  <c:v>11162</c:v>
                </c:pt>
                <c:pt idx="314">
                  <c:v>11303</c:v>
                </c:pt>
                <c:pt idx="315">
                  <c:v>11304</c:v>
                </c:pt>
                <c:pt idx="316">
                  <c:v>11360</c:v>
                </c:pt>
                <c:pt idx="317">
                  <c:v>11437</c:v>
                </c:pt>
                <c:pt idx="318">
                  <c:v>11518</c:v>
                </c:pt>
                <c:pt idx="319">
                  <c:v>11618</c:v>
                </c:pt>
                <c:pt idx="320">
                  <c:v>11695</c:v>
                </c:pt>
                <c:pt idx="321">
                  <c:v>12001</c:v>
                </c:pt>
                <c:pt idx="322">
                  <c:v>12260</c:v>
                </c:pt>
                <c:pt idx="323">
                  <c:v>12334</c:v>
                </c:pt>
                <c:pt idx="324">
                  <c:v>12452</c:v>
                </c:pt>
                <c:pt idx="325">
                  <c:v>12445</c:v>
                </c:pt>
                <c:pt idx="326">
                  <c:v>12479</c:v>
                </c:pt>
                <c:pt idx="327">
                  <c:v>12611</c:v>
                </c:pt>
                <c:pt idx="328">
                  <c:v>12673</c:v>
                </c:pt>
                <c:pt idx="329">
                  <c:v>12746</c:v>
                </c:pt>
                <c:pt idx="330">
                  <c:v>12818</c:v>
                </c:pt>
                <c:pt idx="331">
                  <c:v>12859</c:v>
                </c:pt>
                <c:pt idx="332">
                  <c:v>12855</c:v>
                </c:pt>
                <c:pt idx="333">
                  <c:v>13029</c:v>
                </c:pt>
                <c:pt idx="334">
                  <c:v>13044</c:v>
                </c:pt>
                <c:pt idx="335">
                  <c:v>13016</c:v>
                </c:pt>
                <c:pt idx="336">
                  <c:v>12919</c:v>
                </c:pt>
                <c:pt idx="337">
                  <c:v>13045</c:v>
                </c:pt>
                <c:pt idx="338">
                  <c:v>13146</c:v>
                </c:pt>
                <c:pt idx="339">
                  <c:v>13142</c:v>
                </c:pt>
                <c:pt idx="340">
                  <c:v>13437</c:v>
                </c:pt>
                <c:pt idx="341">
                  <c:v>13518</c:v>
                </c:pt>
                <c:pt idx="342">
                  <c:v>12940</c:v>
                </c:pt>
                <c:pt idx="343">
                  <c:v>13093</c:v>
                </c:pt>
                <c:pt idx="344">
                  <c:v>13157</c:v>
                </c:pt>
                <c:pt idx="345">
                  <c:v>13206</c:v>
                </c:pt>
                <c:pt idx="346">
                  <c:v>12868</c:v>
                </c:pt>
                <c:pt idx="347">
                  <c:v>13002</c:v>
                </c:pt>
                <c:pt idx="348">
                  <c:v>13429</c:v>
                </c:pt>
                <c:pt idx="349">
                  <c:v>13545</c:v>
                </c:pt>
                <c:pt idx="350">
                  <c:v>13870</c:v>
                </c:pt>
                <c:pt idx="351">
                  <c:v>13557</c:v>
                </c:pt>
                <c:pt idx="352">
                  <c:v>13943</c:v>
                </c:pt>
                <c:pt idx="353">
                  <c:v>14806</c:v>
                </c:pt>
                <c:pt idx="354">
                  <c:v>15017</c:v>
                </c:pt>
                <c:pt idx="355">
                  <c:v>15174</c:v>
                </c:pt>
                <c:pt idx="356">
                  <c:v>15581</c:v>
                </c:pt>
                <c:pt idx="357">
                  <c:v>15581</c:v>
                </c:pt>
                <c:pt idx="358">
                  <c:v>15581</c:v>
                </c:pt>
                <c:pt idx="359">
                  <c:v>15588</c:v>
                </c:pt>
                <c:pt idx="360">
                  <c:v>15591</c:v>
                </c:pt>
                <c:pt idx="361">
                  <c:v>16098</c:v>
                </c:pt>
                <c:pt idx="362">
                  <c:v>16186</c:v>
                </c:pt>
                <c:pt idx="363">
                  <c:v>16186</c:v>
                </c:pt>
                <c:pt idx="364">
                  <c:v>16231</c:v>
                </c:pt>
                <c:pt idx="365">
                  <c:v>16231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2D2-4947-855D-AB34C8614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7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14806</c:v>
                </c:pt>
                <c:pt idx="354" formatCode="_ * #,##0_ ;_ * \-#,##0_ ;_ * &quot;-&quot;??_ ;_ @_ ">
                  <c:v>15017</c:v>
                </c:pt>
                <c:pt idx="355" formatCode="_ * #,##0_ ;_ * \-#,##0_ ;_ * &quot;-&quot;??_ ;_ @_ ">
                  <c:v>15174</c:v>
                </c:pt>
                <c:pt idx="356" formatCode="_ * #,##0_ ;_ * \-#,##0_ ;_ * &quot;-&quot;??_ ;_ @_ ">
                  <c:v>15581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11618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2215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  <c:pt idx="354">
                  <c:v>143</c:v>
                </c:pt>
                <c:pt idx="355">
                  <c:v>144</c:v>
                </c:pt>
                <c:pt idx="356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  <c:pt idx="354">
                  <c:v>68</c:v>
                </c:pt>
                <c:pt idx="355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2FFF70-CA4D-3844-8209-C84DB05D79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D250C54E-8313-C044-A110-28BF906D0FE0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date" tableColumnId="1"/>
      <queryTableField id="2" name="files" tableColumnId="2"/>
      <queryTableField id="3" name="code" tableColumnId="3"/>
      <queryTableField id="4" name="comments" tableColumnId="4"/>
      <queryTableField id="5" name="blanks" tableColumnId="5"/>
      <queryTableField id="6" name="tests" tableColumnId="6"/>
      <queryTableField id="7" dataBound="0" tableColumnId="7"/>
      <queryTableField id="8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A16A66-1217-4648-A023-D3AA51199230}" name="LineCount" displayName="LineCount" ref="A1:H367" tableType="queryTable" totalsRowShown="0">
  <autoFilter ref="A1:H367" xr:uid="{B7A16A66-1217-4648-A023-D3AA51199230}"/>
  <tableColumns count="8">
    <tableColumn id="1" xr3:uid="{BB956589-68BC-7544-AD0B-B84626D1CAB5}" uniqueName="1" name="date" queryTableFieldId="1" dataDxfId="2"/>
    <tableColumn id="2" xr3:uid="{FF50ED57-3F17-A14F-9354-0F9B98C82555}" uniqueName="2" name="files" queryTableFieldId="2"/>
    <tableColumn id="3" xr3:uid="{647694BE-FE21-804A-9513-FF278491E2EC}" uniqueName="3" name="code" queryTableFieldId="3"/>
    <tableColumn id="4" xr3:uid="{15C86DA6-9070-CE49-A4FE-EA5A8FED404F}" uniqueName="4" name="comments" queryTableFieldId="4"/>
    <tableColumn id="5" xr3:uid="{96839AB9-199F-174D-86D1-3B241ECAF855}" uniqueName="5" name="blanks" queryTableFieldId="5"/>
    <tableColumn id="6" xr3:uid="{662DE807-D9C9-6C49-841D-F795FB7E09C4}" uniqueName="6" name="tests" queryTableFieldId="6"/>
    <tableColumn id="7" xr3:uid="{9D8CAF55-8889-0F4F-BA40-CB8D4CE33251}" uniqueName="7" name="total lines" queryTableFieldId="7" dataDxfId="1" dataCellStyle="20% - Accent1">
      <calculatedColumnFormula>LineCount[[#This Row],[code]]+LineCount[[#This Row],[comments]]+LineCount[[#This Row],[blanks]]</calculatedColumnFormula>
    </tableColumn>
    <tableColumn id="9" xr3:uid="{4CA5A3AF-46A4-D44E-A5A0-FF6475A1F3E2}" uniqueName="9" name="avg lines per file" queryTableFieldId="8" dataDxfId="0" dataCellStyle="Accent3">
      <calculatedColumnFormula>G2/B2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78F0E-2EB8-2B42-B23E-2CF0C7E08D2C}">
  <dimension ref="A1"/>
  <sheetViews>
    <sheetView workbookViewId="0">
      <selection activeCell="Z43" sqref="Z4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E1EED-ED58-3C42-A657-D190283EC830}">
  <dimension ref="A1:H367"/>
  <sheetViews>
    <sheetView tabSelected="1" workbookViewId="0">
      <pane ySplit="1" topLeftCell="A2" activePane="bottomLeft" state="frozen"/>
      <selection pane="bottomLeft" activeCell="K3" sqref="K3"/>
    </sheetView>
  </sheetViews>
  <sheetFormatPr baseColWidth="10" defaultRowHeight="16" x14ac:dyDescent="0.2"/>
  <cols>
    <col min="1" max="1" width="8.83203125" bestFit="1" customWidth="1"/>
    <col min="2" max="2" width="7.1640625" bestFit="1" customWidth="1"/>
    <col min="3" max="3" width="7.5" bestFit="1" customWidth="1"/>
    <col min="4" max="4" width="12.33203125" bestFit="1" customWidth="1"/>
    <col min="5" max="5" width="9" bestFit="1" customWidth="1"/>
    <col min="6" max="6" width="7.6640625" bestFit="1" customWidth="1"/>
    <col min="7" max="7" width="11.83203125" style="21" bestFit="1" customWidth="1"/>
    <col min="8" max="8" width="18.33203125" bestFit="1" customWidth="1"/>
  </cols>
  <sheetData>
    <row r="1" spans="1:8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s="20" t="s">
        <v>18</v>
      </c>
    </row>
    <row r="2" spans="1:8" x14ac:dyDescent="0.2">
      <c r="A2" s="1">
        <v>44380</v>
      </c>
      <c r="B2">
        <v>6</v>
      </c>
      <c r="C2">
        <v>239</v>
      </c>
      <c r="D2">
        <v>61</v>
      </c>
      <c r="E2">
        <v>40</v>
      </c>
      <c r="F2">
        <v>0</v>
      </c>
      <c r="G2" s="22">
        <f>LineCount[[#This Row],[code]]+LineCount[[#This Row],[comments]]+LineCount[[#This Row],[blanks]]</f>
        <v>340</v>
      </c>
      <c r="H2" s="23">
        <f t="shared" ref="H2:H65" si="0">G2/B2</f>
        <v>56.666666666666664</v>
      </c>
    </row>
    <row r="3" spans="1:8" x14ac:dyDescent="0.2">
      <c r="A3" s="1">
        <v>44381</v>
      </c>
      <c r="B3">
        <v>6</v>
      </c>
      <c r="C3">
        <v>405</v>
      </c>
      <c r="D3">
        <v>62</v>
      </c>
      <c r="E3">
        <v>84</v>
      </c>
      <c r="F3">
        <v>0</v>
      </c>
      <c r="G3" s="22">
        <f>LineCount[[#This Row],[code]]+LineCount[[#This Row],[comments]]+LineCount[[#This Row],[blanks]]</f>
        <v>551</v>
      </c>
      <c r="H3" s="23">
        <f t="shared" si="0"/>
        <v>91.833333333333329</v>
      </c>
    </row>
    <row r="4" spans="1:8" x14ac:dyDescent="0.2">
      <c r="A4" s="1">
        <v>44382</v>
      </c>
      <c r="B4">
        <v>6</v>
      </c>
      <c r="C4">
        <v>469</v>
      </c>
      <c r="D4">
        <v>67</v>
      </c>
      <c r="E4">
        <v>94</v>
      </c>
      <c r="F4">
        <v>0</v>
      </c>
      <c r="G4" s="22">
        <f>LineCount[[#This Row],[code]]+LineCount[[#This Row],[comments]]+LineCount[[#This Row],[blanks]]</f>
        <v>630</v>
      </c>
      <c r="H4" s="23">
        <f t="shared" si="0"/>
        <v>105</v>
      </c>
    </row>
    <row r="5" spans="1:8" x14ac:dyDescent="0.2">
      <c r="A5" s="1">
        <v>44383</v>
      </c>
      <c r="B5">
        <v>6</v>
      </c>
      <c r="C5">
        <v>477</v>
      </c>
      <c r="D5">
        <v>68</v>
      </c>
      <c r="E5">
        <v>97</v>
      </c>
      <c r="F5">
        <v>0</v>
      </c>
      <c r="G5" s="22">
        <f>LineCount[[#This Row],[code]]+LineCount[[#This Row],[comments]]+LineCount[[#This Row],[blanks]]</f>
        <v>642</v>
      </c>
      <c r="H5" s="23">
        <f t="shared" si="0"/>
        <v>107</v>
      </c>
    </row>
    <row r="6" spans="1:8" x14ac:dyDescent="0.2">
      <c r="A6" s="1">
        <v>44384</v>
      </c>
      <c r="B6">
        <v>6</v>
      </c>
      <c r="C6">
        <v>539</v>
      </c>
      <c r="D6">
        <v>63</v>
      </c>
      <c r="E6">
        <v>82</v>
      </c>
      <c r="F6">
        <v>0</v>
      </c>
      <c r="G6" s="22">
        <f>LineCount[[#This Row],[code]]+LineCount[[#This Row],[comments]]+LineCount[[#This Row],[blanks]]</f>
        <v>684</v>
      </c>
      <c r="H6" s="23">
        <f t="shared" si="0"/>
        <v>114</v>
      </c>
    </row>
    <row r="7" spans="1:8" x14ac:dyDescent="0.2">
      <c r="A7" s="1">
        <v>44387</v>
      </c>
      <c r="B7">
        <v>6</v>
      </c>
      <c r="C7">
        <v>549</v>
      </c>
      <c r="D7">
        <v>63</v>
      </c>
      <c r="E7">
        <v>83</v>
      </c>
      <c r="F7">
        <v>0</v>
      </c>
      <c r="G7" s="22">
        <f>LineCount[[#This Row],[code]]+LineCount[[#This Row],[comments]]+LineCount[[#This Row],[blanks]]</f>
        <v>695</v>
      </c>
      <c r="H7" s="23">
        <f t="shared" si="0"/>
        <v>115.83333333333333</v>
      </c>
    </row>
    <row r="8" spans="1:8" x14ac:dyDescent="0.2">
      <c r="A8" s="1">
        <v>44392</v>
      </c>
      <c r="B8">
        <v>6</v>
      </c>
      <c r="C8">
        <v>557</v>
      </c>
      <c r="D8">
        <v>70</v>
      </c>
      <c r="E8">
        <v>87</v>
      </c>
      <c r="F8">
        <v>0</v>
      </c>
      <c r="G8" s="22">
        <f>LineCount[[#This Row],[code]]+LineCount[[#This Row],[comments]]+LineCount[[#This Row],[blanks]]</f>
        <v>714</v>
      </c>
      <c r="H8" s="23">
        <f t="shared" si="0"/>
        <v>119</v>
      </c>
    </row>
    <row r="9" spans="1:8" x14ac:dyDescent="0.2">
      <c r="A9" s="1">
        <v>44393</v>
      </c>
      <c r="B9">
        <v>6</v>
      </c>
      <c r="C9">
        <v>559</v>
      </c>
      <c r="D9">
        <v>71</v>
      </c>
      <c r="E9">
        <v>87</v>
      </c>
      <c r="F9">
        <v>0</v>
      </c>
      <c r="G9" s="22">
        <f>LineCount[[#This Row],[code]]+LineCount[[#This Row],[comments]]+LineCount[[#This Row],[blanks]]</f>
        <v>717</v>
      </c>
      <c r="H9" s="23">
        <f t="shared" si="0"/>
        <v>119.5</v>
      </c>
    </row>
    <row r="10" spans="1:8" x14ac:dyDescent="0.2">
      <c r="A10" s="1">
        <v>44394</v>
      </c>
      <c r="B10">
        <v>9</v>
      </c>
      <c r="C10">
        <v>908</v>
      </c>
      <c r="D10">
        <v>131</v>
      </c>
      <c r="E10">
        <v>134</v>
      </c>
      <c r="F10">
        <v>0</v>
      </c>
      <c r="G10" s="22">
        <f>LineCount[[#This Row],[code]]+LineCount[[#This Row],[comments]]+LineCount[[#This Row],[blanks]]</f>
        <v>1173</v>
      </c>
      <c r="H10" s="23">
        <f t="shared" si="0"/>
        <v>130.33333333333334</v>
      </c>
    </row>
    <row r="11" spans="1:8" x14ac:dyDescent="0.2">
      <c r="A11" s="1">
        <v>44395</v>
      </c>
      <c r="B11">
        <v>9</v>
      </c>
      <c r="C11">
        <v>945</v>
      </c>
      <c r="D11">
        <v>116</v>
      </c>
      <c r="E11">
        <v>110</v>
      </c>
      <c r="F11">
        <v>0</v>
      </c>
      <c r="G11" s="22">
        <f>LineCount[[#This Row],[code]]+LineCount[[#This Row],[comments]]+LineCount[[#This Row],[blanks]]</f>
        <v>1171</v>
      </c>
      <c r="H11" s="23">
        <f t="shared" si="0"/>
        <v>130.11111111111111</v>
      </c>
    </row>
    <row r="12" spans="1:8" x14ac:dyDescent="0.2">
      <c r="A12" s="1">
        <v>44396</v>
      </c>
      <c r="B12">
        <v>9</v>
      </c>
      <c r="C12">
        <v>966</v>
      </c>
      <c r="D12">
        <v>111</v>
      </c>
      <c r="E12">
        <v>110</v>
      </c>
      <c r="F12">
        <v>0</v>
      </c>
      <c r="G12" s="22">
        <f>LineCount[[#This Row],[code]]+LineCount[[#This Row],[comments]]+LineCount[[#This Row],[blanks]]</f>
        <v>1187</v>
      </c>
      <c r="H12" s="23">
        <f t="shared" si="0"/>
        <v>131.88888888888889</v>
      </c>
    </row>
    <row r="13" spans="1:8" x14ac:dyDescent="0.2">
      <c r="A13" s="1">
        <v>44397</v>
      </c>
      <c r="B13">
        <v>9</v>
      </c>
      <c r="C13">
        <v>976</v>
      </c>
      <c r="D13">
        <v>111</v>
      </c>
      <c r="E13">
        <v>110</v>
      </c>
      <c r="F13">
        <v>0</v>
      </c>
      <c r="G13" s="22">
        <f>LineCount[[#This Row],[code]]+LineCount[[#This Row],[comments]]+LineCount[[#This Row],[blanks]]</f>
        <v>1197</v>
      </c>
      <c r="H13" s="23">
        <f t="shared" si="0"/>
        <v>133</v>
      </c>
    </row>
    <row r="14" spans="1:8" x14ac:dyDescent="0.2">
      <c r="A14" s="1">
        <v>44398</v>
      </c>
      <c r="B14">
        <v>9</v>
      </c>
      <c r="C14">
        <v>991</v>
      </c>
      <c r="D14">
        <v>111</v>
      </c>
      <c r="E14">
        <v>111</v>
      </c>
      <c r="F14">
        <v>0</v>
      </c>
      <c r="G14" s="22">
        <f>LineCount[[#This Row],[code]]+LineCount[[#This Row],[comments]]+LineCount[[#This Row],[blanks]]</f>
        <v>1213</v>
      </c>
      <c r="H14" s="23">
        <f t="shared" si="0"/>
        <v>134.77777777777777</v>
      </c>
    </row>
    <row r="15" spans="1:8" x14ac:dyDescent="0.2">
      <c r="A15" s="1">
        <v>44400</v>
      </c>
      <c r="B15">
        <v>9</v>
      </c>
      <c r="C15">
        <v>984</v>
      </c>
      <c r="D15">
        <v>125</v>
      </c>
      <c r="E15">
        <v>114</v>
      </c>
      <c r="F15">
        <v>0</v>
      </c>
      <c r="G15" s="22">
        <f>LineCount[[#This Row],[code]]+LineCount[[#This Row],[comments]]+LineCount[[#This Row],[blanks]]</f>
        <v>1223</v>
      </c>
      <c r="H15" s="23">
        <f t="shared" si="0"/>
        <v>135.88888888888889</v>
      </c>
    </row>
    <row r="16" spans="1:8" x14ac:dyDescent="0.2">
      <c r="A16" s="1">
        <v>44401</v>
      </c>
      <c r="B16">
        <v>9</v>
      </c>
      <c r="C16">
        <v>1009</v>
      </c>
      <c r="D16">
        <v>117</v>
      </c>
      <c r="E16">
        <v>115</v>
      </c>
      <c r="F16">
        <v>0</v>
      </c>
      <c r="G16" s="22">
        <f>LineCount[[#This Row],[code]]+LineCount[[#This Row],[comments]]+LineCount[[#This Row],[blanks]]</f>
        <v>1241</v>
      </c>
      <c r="H16" s="23">
        <f t="shared" si="0"/>
        <v>137.88888888888889</v>
      </c>
    </row>
    <row r="17" spans="1:8" x14ac:dyDescent="0.2">
      <c r="A17" s="1">
        <v>44402</v>
      </c>
      <c r="B17">
        <v>9</v>
      </c>
      <c r="C17">
        <v>1022</v>
      </c>
      <c r="D17">
        <v>148</v>
      </c>
      <c r="E17">
        <v>126</v>
      </c>
      <c r="F17">
        <v>0</v>
      </c>
      <c r="G17" s="22">
        <f>LineCount[[#This Row],[code]]+LineCount[[#This Row],[comments]]+LineCount[[#This Row],[blanks]]</f>
        <v>1296</v>
      </c>
      <c r="H17" s="23">
        <f t="shared" si="0"/>
        <v>144</v>
      </c>
    </row>
    <row r="18" spans="1:8" x14ac:dyDescent="0.2">
      <c r="A18" s="1">
        <v>44409</v>
      </c>
      <c r="B18">
        <v>11</v>
      </c>
      <c r="C18">
        <v>1054</v>
      </c>
      <c r="D18">
        <v>150</v>
      </c>
      <c r="E18">
        <v>128</v>
      </c>
      <c r="F18">
        <v>0</v>
      </c>
      <c r="G18" s="22">
        <f>LineCount[[#This Row],[code]]+LineCount[[#This Row],[comments]]+LineCount[[#This Row],[blanks]]</f>
        <v>1332</v>
      </c>
      <c r="H18" s="23">
        <f t="shared" si="0"/>
        <v>121.09090909090909</v>
      </c>
    </row>
    <row r="19" spans="1:8" x14ac:dyDescent="0.2">
      <c r="A19" s="1">
        <v>44410</v>
      </c>
      <c r="B19">
        <v>11</v>
      </c>
      <c r="C19">
        <v>1045</v>
      </c>
      <c r="D19">
        <v>154</v>
      </c>
      <c r="E19">
        <v>136</v>
      </c>
      <c r="F19">
        <v>0</v>
      </c>
      <c r="G19" s="22">
        <f>LineCount[[#This Row],[code]]+LineCount[[#This Row],[comments]]+LineCount[[#This Row],[blanks]]</f>
        <v>1335</v>
      </c>
      <c r="H19" s="23">
        <f t="shared" si="0"/>
        <v>121.36363636363636</v>
      </c>
    </row>
    <row r="20" spans="1:8" x14ac:dyDescent="0.2">
      <c r="A20" s="1">
        <v>44415</v>
      </c>
      <c r="B20">
        <v>11</v>
      </c>
      <c r="C20">
        <v>1049</v>
      </c>
      <c r="D20">
        <v>153</v>
      </c>
      <c r="E20">
        <v>136</v>
      </c>
      <c r="F20">
        <v>0</v>
      </c>
      <c r="G20" s="22">
        <f>LineCount[[#This Row],[code]]+LineCount[[#This Row],[comments]]+LineCount[[#This Row],[blanks]]</f>
        <v>1338</v>
      </c>
      <c r="H20" s="23">
        <f t="shared" si="0"/>
        <v>121.63636363636364</v>
      </c>
    </row>
    <row r="21" spans="1:8" x14ac:dyDescent="0.2">
      <c r="A21" s="1">
        <v>44416</v>
      </c>
      <c r="B21">
        <v>11</v>
      </c>
      <c r="C21">
        <v>1084</v>
      </c>
      <c r="D21">
        <v>155</v>
      </c>
      <c r="E21">
        <v>136</v>
      </c>
      <c r="F21">
        <v>0</v>
      </c>
      <c r="G21" s="22">
        <f>LineCount[[#This Row],[code]]+LineCount[[#This Row],[comments]]+LineCount[[#This Row],[blanks]]</f>
        <v>1375</v>
      </c>
      <c r="H21" s="23">
        <f t="shared" si="0"/>
        <v>125</v>
      </c>
    </row>
    <row r="22" spans="1:8" x14ac:dyDescent="0.2">
      <c r="A22" s="1">
        <v>44417</v>
      </c>
      <c r="B22">
        <v>11</v>
      </c>
      <c r="C22">
        <v>1072</v>
      </c>
      <c r="D22">
        <v>155</v>
      </c>
      <c r="E22">
        <v>145</v>
      </c>
      <c r="F22">
        <v>0</v>
      </c>
      <c r="G22" s="22">
        <f>LineCount[[#This Row],[code]]+LineCount[[#This Row],[comments]]+LineCount[[#This Row],[blanks]]</f>
        <v>1372</v>
      </c>
      <c r="H22" s="23">
        <f t="shared" si="0"/>
        <v>124.72727272727273</v>
      </c>
    </row>
    <row r="23" spans="1:8" x14ac:dyDescent="0.2">
      <c r="A23" s="1">
        <v>44422</v>
      </c>
      <c r="B23">
        <v>11</v>
      </c>
      <c r="C23">
        <v>1106</v>
      </c>
      <c r="D23">
        <v>158</v>
      </c>
      <c r="E23">
        <v>153</v>
      </c>
      <c r="F23">
        <v>0</v>
      </c>
      <c r="G23" s="22">
        <f>LineCount[[#This Row],[code]]+LineCount[[#This Row],[comments]]+LineCount[[#This Row],[blanks]]</f>
        <v>1417</v>
      </c>
      <c r="H23" s="23">
        <f t="shared" si="0"/>
        <v>128.81818181818181</v>
      </c>
    </row>
    <row r="24" spans="1:8" x14ac:dyDescent="0.2">
      <c r="A24" s="1">
        <v>44423</v>
      </c>
      <c r="B24">
        <v>11</v>
      </c>
      <c r="C24">
        <v>1115</v>
      </c>
      <c r="D24">
        <v>160</v>
      </c>
      <c r="E24">
        <v>139</v>
      </c>
      <c r="F24">
        <v>0</v>
      </c>
      <c r="G24" s="22">
        <f>LineCount[[#This Row],[code]]+LineCount[[#This Row],[comments]]+LineCount[[#This Row],[blanks]]</f>
        <v>1414</v>
      </c>
      <c r="H24" s="23">
        <f t="shared" si="0"/>
        <v>128.54545454545453</v>
      </c>
    </row>
    <row r="25" spans="1:8" x14ac:dyDescent="0.2">
      <c r="A25" s="1">
        <v>44424</v>
      </c>
      <c r="B25">
        <v>11</v>
      </c>
      <c r="C25">
        <v>1543</v>
      </c>
      <c r="D25">
        <v>188</v>
      </c>
      <c r="E25">
        <v>190</v>
      </c>
      <c r="F25">
        <v>0</v>
      </c>
      <c r="G25" s="22">
        <f>LineCount[[#This Row],[code]]+LineCount[[#This Row],[comments]]+LineCount[[#This Row],[blanks]]</f>
        <v>1921</v>
      </c>
      <c r="H25" s="23">
        <f t="shared" si="0"/>
        <v>174.63636363636363</v>
      </c>
    </row>
    <row r="26" spans="1:8" x14ac:dyDescent="0.2">
      <c r="A26" s="1">
        <v>44425</v>
      </c>
      <c r="B26">
        <v>11</v>
      </c>
      <c r="C26">
        <v>1539</v>
      </c>
      <c r="D26">
        <v>195</v>
      </c>
      <c r="E26">
        <v>186</v>
      </c>
      <c r="F26">
        <v>0</v>
      </c>
      <c r="G26" s="22">
        <f>LineCount[[#This Row],[code]]+LineCount[[#This Row],[comments]]+LineCount[[#This Row],[blanks]]</f>
        <v>1920</v>
      </c>
      <c r="H26" s="23">
        <f t="shared" si="0"/>
        <v>174.54545454545453</v>
      </c>
    </row>
    <row r="27" spans="1:8" x14ac:dyDescent="0.2">
      <c r="A27" s="1">
        <v>44472</v>
      </c>
      <c r="B27">
        <v>13</v>
      </c>
      <c r="C27">
        <v>1374</v>
      </c>
      <c r="D27">
        <v>177</v>
      </c>
      <c r="E27">
        <v>166</v>
      </c>
      <c r="F27">
        <v>0</v>
      </c>
      <c r="G27" s="22">
        <f>LineCount[[#This Row],[code]]+LineCount[[#This Row],[comments]]+LineCount[[#This Row],[blanks]]</f>
        <v>1717</v>
      </c>
      <c r="H27" s="23">
        <f t="shared" si="0"/>
        <v>132.07692307692307</v>
      </c>
    </row>
    <row r="28" spans="1:8" x14ac:dyDescent="0.2">
      <c r="A28" s="1">
        <v>44539</v>
      </c>
      <c r="B28">
        <v>13</v>
      </c>
      <c r="C28">
        <v>1358</v>
      </c>
      <c r="D28">
        <v>179</v>
      </c>
      <c r="E28">
        <v>166</v>
      </c>
      <c r="F28">
        <v>0</v>
      </c>
      <c r="G28" s="22">
        <f>LineCount[[#This Row],[code]]+LineCount[[#This Row],[comments]]+LineCount[[#This Row],[blanks]]</f>
        <v>1703</v>
      </c>
      <c r="H28" s="23">
        <f t="shared" si="0"/>
        <v>131</v>
      </c>
    </row>
    <row r="29" spans="1:8" x14ac:dyDescent="0.2">
      <c r="A29" s="1">
        <v>44541</v>
      </c>
      <c r="B29">
        <v>14</v>
      </c>
      <c r="C29">
        <v>1392</v>
      </c>
      <c r="D29">
        <v>174</v>
      </c>
      <c r="E29">
        <v>171</v>
      </c>
      <c r="F29">
        <v>0</v>
      </c>
      <c r="G29" s="22">
        <f>LineCount[[#This Row],[code]]+LineCount[[#This Row],[comments]]+LineCount[[#This Row],[blanks]]</f>
        <v>1737</v>
      </c>
      <c r="H29" s="23">
        <f t="shared" si="0"/>
        <v>124.07142857142857</v>
      </c>
    </row>
    <row r="30" spans="1:8" x14ac:dyDescent="0.2">
      <c r="A30" s="1">
        <v>44542</v>
      </c>
      <c r="B30">
        <v>14</v>
      </c>
      <c r="C30">
        <v>1415</v>
      </c>
      <c r="D30">
        <v>174</v>
      </c>
      <c r="E30">
        <v>171</v>
      </c>
      <c r="F30">
        <v>0</v>
      </c>
      <c r="G30" s="22">
        <f>LineCount[[#This Row],[code]]+LineCount[[#This Row],[comments]]+LineCount[[#This Row],[blanks]]</f>
        <v>1760</v>
      </c>
      <c r="H30" s="23">
        <f t="shared" si="0"/>
        <v>125.71428571428571</v>
      </c>
    </row>
    <row r="31" spans="1:8" x14ac:dyDescent="0.2">
      <c r="A31" s="1">
        <v>44547</v>
      </c>
      <c r="B31">
        <v>14</v>
      </c>
      <c r="C31">
        <v>1424</v>
      </c>
      <c r="D31">
        <v>175</v>
      </c>
      <c r="E31">
        <v>170</v>
      </c>
      <c r="F31">
        <v>0</v>
      </c>
      <c r="G31" s="22">
        <f>LineCount[[#This Row],[code]]+LineCount[[#This Row],[comments]]+LineCount[[#This Row],[blanks]]</f>
        <v>1769</v>
      </c>
      <c r="H31" s="23">
        <f t="shared" si="0"/>
        <v>126.35714285714286</v>
      </c>
    </row>
    <row r="32" spans="1:8" x14ac:dyDescent="0.2">
      <c r="A32" s="1">
        <v>44549</v>
      </c>
      <c r="B32">
        <v>14</v>
      </c>
      <c r="C32">
        <v>1464</v>
      </c>
      <c r="D32">
        <v>176</v>
      </c>
      <c r="E32">
        <v>177</v>
      </c>
      <c r="F32">
        <v>0</v>
      </c>
      <c r="G32" s="22">
        <f>LineCount[[#This Row],[code]]+LineCount[[#This Row],[comments]]+LineCount[[#This Row],[blanks]]</f>
        <v>1817</v>
      </c>
      <c r="H32" s="23">
        <f t="shared" si="0"/>
        <v>129.78571428571428</v>
      </c>
    </row>
    <row r="33" spans="1:8" x14ac:dyDescent="0.2">
      <c r="A33" s="1">
        <v>44550</v>
      </c>
      <c r="B33">
        <v>14</v>
      </c>
      <c r="C33">
        <v>1472</v>
      </c>
      <c r="D33">
        <v>185</v>
      </c>
      <c r="E33">
        <v>181</v>
      </c>
      <c r="F33">
        <v>0</v>
      </c>
      <c r="G33" s="22">
        <f>LineCount[[#This Row],[code]]+LineCount[[#This Row],[comments]]+LineCount[[#This Row],[blanks]]</f>
        <v>1838</v>
      </c>
      <c r="H33" s="23">
        <f t="shared" si="0"/>
        <v>131.28571428571428</v>
      </c>
    </row>
    <row r="34" spans="1:8" x14ac:dyDescent="0.2">
      <c r="A34" s="1">
        <v>44551</v>
      </c>
      <c r="B34">
        <v>14</v>
      </c>
      <c r="C34">
        <v>1475</v>
      </c>
      <c r="D34">
        <v>180</v>
      </c>
      <c r="E34">
        <v>182</v>
      </c>
      <c r="F34">
        <v>0</v>
      </c>
      <c r="G34" s="22">
        <f>LineCount[[#This Row],[code]]+LineCount[[#This Row],[comments]]+LineCount[[#This Row],[blanks]]</f>
        <v>1837</v>
      </c>
      <c r="H34" s="23">
        <f t="shared" si="0"/>
        <v>131.21428571428572</v>
      </c>
    </row>
    <row r="35" spans="1:8" x14ac:dyDescent="0.2">
      <c r="A35" s="1">
        <v>44552</v>
      </c>
      <c r="B35">
        <v>14</v>
      </c>
      <c r="C35">
        <v>1481</v>
      </c>
      <c r="D35">
        <v>184</v>
      </c>
      <c r="E35">
        <v>183</v>
      </c>
      <c r="F35">
        <v>0</v>
      </c>
      <c r="G35" s="22">
        <f>LineCount[[#This Row],[code]]+LineCount[[#This Row],[comments]]+LineCount[[#This Row],[blanks]]</f>
        <v>1848</v>
      </c>
      <c r="H35" s="23">
        <f t="shared" si="0"/>
        <v>132</v>
      </c>
    </row>
    <row r="36" spans="1:8" x14ac:dyDescent="0.2">
      <c r="A36" s="1">
        <v>44553</v>
      </c>
      <c r="B36">
        <v>15</v>
      </c>
      <c r="C36">
        <v>1501</v>
      </c>
      <c r="D36">
        <v>208</v>
      </c>
      <c r="E36">
        <v>187</v>
      </c>
      <c r="F36">
        <v>0</v>
      </c>
      <c r="G36" s="22">
        <f>LineCount[[#This Row],[code]]+LineCount[[#This Row],[comments]]+LineCount[[#This Row],[blanks]]</f>
        <v>1896</v>
      </c>
      <c r="H36" s="23">
        <f t="shared" si="0"/>
        <v>126.4</v>
      </c>
    </row>
    <row r="37" spans="1:8" x14ac:dyDescent="0.2">
      <c r="A37" s="1">
        <v>44554</v>
      </c>
      <c r="B37">
        <v>16</v>
      </c>
      <c r="C37">
        <v>1517</v>
      </c>
      <c r="D37">
        <v>192</v>
      </c>
      <c r="E37">
        <v>196</v>
      </c>
      <c r="F37">
        <v>0</v>
      </c>
      <c r="G37" s="22">
        <f>LineCount[[#This Row],[code]]+LineCount[[#This Row],[comments]]+LineCount[[#This Row],[blanks]]</f>
        <v>1905</v>
      </c>
      <c r="H37" s="23">
        <f t="shared" si="0"/>
        <v>119.0625</v>
      </c>
    </row>
    <row r="38" spans="1:8" x14ac:dyDescent="0.2">
      <c r="A38" s="1">
        <v>44555</v>
      </c>
      <c r="B38">
        <v>17</v>
      </c>
      <c r="C38">
        <v>1527</v>
      </c>
      <c r="D38">
        <v>199</v>
      </c>
      <c r="E38">
        <v>198</v>
      </c>
      <c r="F38">
        <v>0</v>
      </c>
      <c r="G38" s="22">
        <f>LineCount[[#This Row],[code]]+LineCount[[#This Row],[comments]]+LineCount[[#This Row],[blanks]]</f>
        <v>1924</v>
      </c>
      <c r="H38" s="23">
        <f t="shared" si="0"/>
        <v>113.17647058823529</v>
      </c>
    </row>
    <row r="39" spans="1:8" x14ac:dyDescent="0.2">
      <c r="A39" s="1">
        <v>44556</v>
      </c>
      <c r="B39">
        <v>17</v>
      </c>
      <c r="C39">
        <v>1598</v>
      </c>
      <c r="D39">
        <v>211</v>
      </c>
      <c r="E39">
        <v>202</v>
      </c>
      <c r="F39">
        <v>0</v>
      </c>
      <c r="G39" s="22">
        <f>LineCount[[#This Row],[code]]+LineCount[[#This Row],[comments]]+LineCount[[#This Row],[blanks]]</f>
        <v>2011</v>
      </c>
      <c r="H39" s="23">
        <f t="shared" si="0"/>
        <v>118.29411764705883</v>
      </c>
    </row>
    <row r="40" spans="1:8" x14ac:dyDescent="0.2">
      <c r="A40" s="1">
        <v>44558</v>
      </c>
      <c r="B40">
        <v>18</v>
      </c>
      <c r="C40">
        <v>1604</v>
      </c>
      <c r="D40">
        <v>222</v>
      </c>
      <c r="E40">
        <v>209</v>
      </c>
      <c r="F40">
        <v>0</v>
      </c>
      <c r="G40" s="22">
        <f>LineCount[[#This Row],[code]]+LineCount[[#This Row],[comments]]+LineCount[[#This Row],[blanks]]</f>
        <v>2035</v>
      </c>
      <c r="H40" s="23">
        <f t="shared" si="0"/>
        <v>113.05555555555556</v>
      </c>
    </row>
    <row r="41" spans="1:8" x14ac:dyDescent="0.2">
      <c r="A41" s="1">
        <v>44559</v>
      </c>
      <c r="B41">
        <v>19</v>
      </c>
      <c r="C41">
        <v>1594</v>
      </c>
      <c r="D41">
        <v>218</v>
      </c>
      <c r="E41">
        <v>210</v>
      </c>
      <c r="F41">
        <v>0</v>
      </c>
      <c r="G41" s="22">
        <f>LineCount[[#This Row],[code]]+LineCount[[#This Row],[comments]]+LineCount[[#This Row],[blanks]]</f>
        <v>2022</v>
      </c>
      <c r="H41" s="23">
        <f t="shared" si="0"/>
        <v>106.42105263157895</v>
      </c>
    </row>
    <row r="42" spans="1:8" x14ac:dyDescent="0.2">
      <c r="A42" s="1">
        <v>44560</v>
      </c>
      <c r="B42">
        <v>20</v>
      </c>
      <c r="C42">
        <v>1624</v>
      </c>
      <c r="D42">
        <v>264</v>
      </c>
      <c r="E42">
        <v>217</v>
      </c>
      <c r="F42">
        <v>0</v>
      </c>
      <c r="G42" s="22">
        <f>LineCount[[#This Row],[code]]+LineCount[[#This Row],[comments]]+LineCount[[#This Row],[blanks]]</f>
        <v>2105</v>
      </c>
      <c r="H42" s="23">
        <f t="shared" si="0"/>
        <v>105.25</v>
      </c>
    </row>
    <row r="43" spans="1:8" x14ac:dyDescent="0.2">
      <c r="A43" s="1">
        <v>44561</v>
      </c>
      <c r="B43">
        <v>23</v>
      </c>
      <c r="C43">
        <v>1702</v>
      </c>
      <c r="D43">
        <v>266</v>
      </c>
      <c r="E43">
        <v>241</v>
      </c>
      <c r="F43">
        <v>0</v>
      </c>
      <c r="G43" s="22">
        <f>LineCount[[#This Row],[code]]+LineCount[[#This Row],[comments]]+LineCount[[#This Row],[blanks]]</f>
        <v>2209</v>
      </c>
      <c r="H43" s="23">
        <f t="shared" si="0"/>
        <v>96.043478260869563</v>
      </c>
    </row>
    <row r="44" spans="1:8" x14ac:dyDescent="0.2">
      <c r="A44" s="1">
        <v>44562</v>
      </c>
      <c r="B44">
        <v>23</v>
      </c>
      <c r="C44">
        <v>1701</v>
      </c>
      <c r="D44">
        <v>267</v>
      </c>
      <c r="E44">
        <v>241</v>
      </c>
      <c r="F44">
        <v>0</v>
      </c>
      <c r="G44" s="22">
        <f>LineCount[[#This Row],[code]]+LineCount[[#This Row],[comments]]+LineCount[[#This Row],[blanks]]</f>
        <v>2209</v>
      </c>
      <c r="H44" s="23">
        <f t="shared" si="0"/>
        <v>96.043478260869563</v>
      </c>
    </row>
    <row r="45" spans="1:8" x14ac:dyDescent="0.2">
      <c r="A45" s="1">
        <v>44564</v>
      </c>
      <c r="B45">
        <v>23</v>
      </c>
      <c r="C45">
        <v>1733</v>
      </c>
      <c r="D45">
        <v>258</v>
      </c>
      <c r="E45">
        <v>230</v>
      </c>
      <c r="F45">
        <v>0</v>
      </c>
      <c r="G45" s="22">
        <f>LineCount[[#This Row],[code]]+LineCount[[#This Row],[comments]]+LineCount[[#This Row],[blanks]]</f>
        <v>2221</v>
      </c>
      <c r="H45" s="23">
        <f t="shared" si="0"/>
        <v>96.565217391304344</v>
      </c>
    </row>
    <row r="46" spans="1:8" x14ac:dyDescent="0.2">
      <c r="A46" s="1">
        <v>44565</v>
      </c>
      <c r="B46">
        <v>23</v>
      </c>
      <c r="C46">
        <v>1733</v>
      </c>
      <c r="D46">
        <v>258</v>
      </c>
      <c r="E46">
        <v>230</v>
      </c>
      <c r="F46">
        <v>0</v>
      </c>
      <c r="G46" s="22">
        <f>LineCount[[#This Row],[code]]+LineCount[[#This Row],[comments]]+LineCount[[#This Row],[blanks]]</f>
        <v>2221</v>
      </c>
      <c r="H46" s="23">
        <f t="shared" si="0"/>
        <v>96.565217391304344</v>
      </c>
    </row>
    <row r="47" spans="1:8" x14ac:dyDescent="0.2">
      <c r="A47" s="1">
        <v>44566</v>
      </c>
      <c r="B47">
        <v>25</v>
      </c>
      <c r="C47">
        <v>1759</v>
      </c>
      <c r="D47">
        <v>281</v>
      </c>
      <c r="E47">
        <v>253</v>
      </c>
      <c r="F47">
        <v>0</v>
      </c>
      <c r="G47" s="22">
        <f>LineCount[[#This Row],[code]]+LineCount[[#This Row],[comments]]+LineCount[[#This Row],[blanks]]</f>
        <v>2293</v>
      </c>
      <c r="H47" s="23">
        <f t="shared" si="0"/>
        <v>91.72</v>
      </c>
    </row>
    <row r="48" spans="1:8" x14ac:dyDescent="0.2">
      <c r="A48" s="1">
        <v>44567</v>
      </c>
      <c r="B48">
        <v>25</v>
      </c>
      <c r="C48">
        <v>1787</v>
      </c>
      <c r="D48">
        <v>279</v>
      </c>
      <c r="E48">
        <v>254</v>
      </c>
      <c r="F48">
        <v>0</v>
      </c>
      <c r="G48" s="22">
        <f>LineCount[[#This Row],[code]]+LineCount[[#This Row],[comments]]+LineCount[[#This Row],[blanks]]</f>
        <v>2320</v>
      </c>
      <c r="H48" s="23">
        <f t="shared" si="0"/>
        <v>92.8</v>
      </c>
    </row>
    <row r="49" spans="1:8" x14ac:dyDescent="0.2">
      <c r="A49" s="1">
        <v>44568</v>
      </c>
      <c r="B49">
        <v>27</v>
      </c>
      <c r="C49">
        <v>1875</v>
      </c>
      <c r="D49">
        <v>307</v>
      </c>
      <c r="E49">
        <v>267</v>
      </c>
      <c r="F49">
        <v>0</v>
      </c>
      <c r="G49" s="22">
        <f>LineCount[[#This Row],[code]]+LineCount[[#This Row],[comments]]+LineCount[[#This Row],[blanks]]</f>
        <v>2449</v>
      </c>
      <c r="H49" s="23">
        <f t="shared" si="0"/>
        <v>90.703703703703709</v>
      </c>
    </row>
    <row r="50" spans="1:8" x14ac:dyDescent="0.2">
      <c r="A50" s="1">
        <v>44569</v>
      </c>
      <c r="B50">
        <v>27</v>
      </c>
      <c r="C50">
        <v>1934</v>
      </c>
      <c r="D50">
        <v>309</v>
      </c>
      <c r="E50">
        <v>275</v>
      </c>
      <c r="F50">
        <v>0</v>
      </c>
      <c r="G50" s="22">
        <f>LineCount[[#This Row],[code]]+LineCount[[#This Row],[comments]]+LineCount[[#This Row],[blanks]]</f>
        <v>2518</v>
      </c>
      <c r="H50" s="23">
        <f t="shared" si="0"/>
        <v>93.259259259259252</v>
      </c>
    </row>
    <row r="51" spans="1:8" x14ac:dyDescent="0.2">
      <c r="A51" s="1">
        <v>44575</v>
      </c>
      <c r="B51">
        <v>29</v>
      </c>
      <c r="C51">
        <v>1975</v>
      </c>
      <c r="D51">
        <v>314</v>
      </c>
      <c r="E51">
        <v>278</v>
      </c>
      <c r="F51">
        <v>0</v>
      </c>
      <c r="G51" s="22">
        <f>LineCount[[#This Row],[code]]+LineCount[[#This Row],[comments]]+LineCount[[#This Row],[blanks]]</f>
        <v>2567</v>
      </c>
      <c r="H51" s="23">
        <f t="shared" si="0"/>
        <v>88.517241379310349</v>
      </c>
    </row>
    <row r="52" spans="1:8" x14ac:dyDescent="0.2">
      <c r="A52" s="1">
        <v>44576</v>
      </c>
      <c r="B52">
        <v>30</v>
      </c>
      <c r="C52">
        <v>2239</v>
      </c>
      <c r="D52">
        <v>385</v>
      </c>
      <c r="E52">
        <v>303</v>
      </c>
      <c r="F52">
        <v>0</v>
      </c>
      <c r="G52" s="22">
        <f>LineCount[[#This Row],[code]]+LineCount[[#This Row],[comments]]+LineCount[[#This Row],[blanks]]</f>
        <v>2927</v>
      </c>
      <c r="H52" s="23">
        <f t="shared" si="0"/>
        <v>97.566666666666663</v>
      </c>
    </row>
    <row r="53" spans="1:8" x14ac:dyDescent="0.2">
      <c r="A53" s="1">
        <v>44577</v>
      </c>
      <c r="B53">
        <v>29</v>
      </c>
      <c r="C53">
        <v>2242</v>
      </c>
      <c r="D53">
        <v>359</v>
      </c>
      <c r="E53">
        <v>314</v>
      </c>
      <c r="F53">
        <v>0</v>
      </c>
      <c r="G53" s="22">
        <f>LineCount[[#This Row],[code]]+LineCount[[#This Row],[comments]]+LineCount[[#This Row],[blanks]]</f>
        <v>2915</v>
      </c>
      <c r="H53" s="23">
        <f t="shared" si="0"/>
        <v>100.51724137931035</v>
      </c>
    </row>
    <row r="54" spans="1:8" x14ac:dyDescent="0.2">
      <c r="A54" s="1">
        <v>44578</v>
      </c>
      <c r="B54">
        <v>29</v>
      </c>
      <c r="C54">
        <v>2203</v>
      </c>
      <c r="D54">
        <v>409</v>
      </c>
      <c r="E54">
        <v>305</v>
      </c>
      <c r="F54">
        <v>0</v>
      </c>
      <c r="G54" s="22">
        <f>LineCount[[#This Row],[code]]+LineCount[[#This Row],[comments]]+LineCount[[#This Row],[blanks]]</f>
        <v>2917</v>
      </c>
      <c r="H54" s="23">
        <f t="shared" si="0"/>
        <v>100.58620689655173</v>
      </c>
    </row>
    <row r="55" spans="1:8" x14ac:dyDescent="0.2">
      <c r="A55" s="1">
        <v>44579</v>
      </c>
      <c r="B55">
        <v>29</v>
      </c>
      <c r="C55">
        <v>2203</v>
      </c>
      <c r="D55">
        <v>357</v>
      </c>
      <c r="E55">
        <v>302</v>
      </c>
      <c r="F55">
        <v>0</v>
      </c>
      <c r="G55" s="22">
        <f>LineCount[[#This Row],[code]]+LineCount[[#This Row],[comments]]+LineCount[[#This Row],[blanks]]</f>
        <v>2862</v>
      </c>
      <c r="H55" s="23">
        <f t="shared" si="0"/>
        <v>98.689655172413794</v>
      </c>
    </row>
    <row r="56" spans="1:8" x14ac:dyDescent="0.2">
      <c r="A56" s="1">
        <v>44584</v>
      </c>
      <c r="B56">
        <v>29</v>
      </c>
      <c r="C56">
        <v>2285</v>
      </c>
      <c r="D56">
        <v>356</v>
      </c>
      <c r="E56">
        <v>308</v>
      </c>
      <c r="F56">
        <v>0</v>
      </c>
      <c r="G56" s="22">
        <f>LineCount[[#This Row],[code]]+LineCount[[#This Row],[comments]]+LineCount[[#This Row],[blanks]]</f>
        <v>2949</v>
      </c>
      <c r="H56" s="23">
        <f t="shared" si="0"/>
        <v>101.68965517241379</v>
      </c>
    </row>
    <row r="57" spans="1:8" x14ac:dyDescent="0.2">
      <c r="A57" s="1">
        <v>44585</v>
      </c>
      <c r="B57">
        <v>29</v>
      </c>
      <c r="C57">
        <v>2319</v>
      </c>
      <c r="D57">
        <v>354</v>
      </c>
      <c r="E57">
        <v>303</v>
      </c>
      <c r="F57">
        <v>0</v>
      </c>
      <c r="G57" s="22">
        <f>LineCount[[#This Row],[code]]+LineCount[[#This Row],[comments]]+LineCount[[#This Row],[blanks]]</f>
        <v>2976</v>
      </c>
      <c r="H57" s="23">
        <f t="shared" si="0"/>
        <v>102.62068965517241</v>
      </c>
    </row>
    <row r="58" spans="1:8" x14ac:dyDescent="0.2">
      <c r="A58" s="1">
        <v>44586</v>
      </c>
      <c r="B58">
        <v>29</v>
      </c>
      <c r="C58">
        <v>2360</v>
      </c>
      <c r="D58">
        <v>361</v>
      </c>
      <c r="E58">
        <v>304</v>
      </c>
      <c r="F58">
        <v>0</v>
      </c>
      <c r="G58" s="22">
        <f>LineCount[[#This Row],[code]]+LineCount[[#This Row],[comments]]+LineCount[[#This Row],[blanks]]</f>
        <v>3025</v>
      </c>
      <c r="H58" s="23">
        <f t="shared" si="0"/>
        <v>104.31034482758621</v>
      </c>
    </row>
    <row r="59" spans="1:8" x14ac:dyDescent="0.2">
      <c r="A59" s="1">
        <v>44587</v>
      </c>
      <c r="B59">
        <v>29</v>
      </c>
      <c r="C59">
        <v>2360</v>
      </c>
      <c r="D59">
        <v>361</v>
      </c>
      <c r="E59">
        <v>304</v>
      </c>
      <c r="F59">
        <v>0</v>
      </c>
      <c r="G59" s="22">
        <f>LineCount[[#This Row],[code]]+LineCount[[#This Row],[comments]]+LineCount[[#This Row],[blanks]]</f>
        <v>3025</v>
      </c>
      <c r="H59" s="23">
        <f t="shared" si="0"/>
        <v>104.31034482758621</v>
      </c>
    </row>
    <row r="60" spans="1:8" x14ac:dyDescent="0.2">
      <c r="A60" s="1">
        <v>44588</v>
      </c>
      <c r="B60">
        <v>29</v>
      </c>
      <c r="C60">
        <v>2362</v>
      </c>
      <c r="D60">
        <v>361</v>
      </c>
      <c r="E60">
        <v>304</v>
      </c>
      <c r="F60">
        <v>0</v>
      </c>
      <c r="G60" s="22">
        <f>LineCount[[#This Row],[code]]+LineCount[[#This Row],[comments]]+LineCount[[#This Row],[blanks]]</f>
        <v>3027</v>
      </c>
      <c r="H60" s="23">
        <f t="shared" si="0"/>
        <v>104.37931034482759</v>
      </c>
    </row>
    <row r="61" spans="1:8" x14ac:dyDescent="0.2">
      <c r="A61" s="1">
        <v>44589</v>
      </c>
      <c r="B61">
        <v>29</v>
      </c>
      <c r="C61">
        <v>2364</v>
      </c>
      <c r="D61">
        <v>361</v>
      </c>
      <c r="E61">
        <v>304</v>
      </c>
      <c r="F61">
        <v>0</v>
      </c>
      <c r="G61" s="22">
        <f>LineCount[[#This Row],[code]]+LineCount[[#This Row],[comments]]+LineCount[[#This Row],[blanks]]</f>
        <v>3029</v>
      </c>
      <c r="H61" s="23">
        <f t="shared" si="0"/>
        <v>104.44827586206897</v>
      </c>
    </row>
    <row r="62" spans="1:8" x14ac:dyDescent="0.2">
      <c r="A62" s="1">
        <v>44590</v>
      </c>
      <c r="B62">
        <v>27</v>
      </c>
      <c r="C62">
        <v>2071</v>
      </c>
      <c r="D62">
        <v>339</v>
      </c>
      <c r="E62">
        <v>276</v>
      </c>
      <c r="F62">
        <v>0</v>
      </c>
      <c r="G62" s="22">
        <f>LineCount[[#This Row],[code]]+LineCount[[#This Row],[comments]]+LineCount[[#This Row],[blanks]]</f>
        <v>2686</v>
      </c>
      <c r="H62" s="23">
        <f t="shared" si="0"/>
        <v>99.481481481481481</v>
      </c>
    </row>
    <row r="63" spans="1:8" x14ac:dyDescent="0.2">
      <c r="A63" s="1">
        <v>44626</v>
      </c>
      <c r="B63">
        <v>30</v>
      </c>
      <c r="C63">
        <v>2306</v>
      </c>
      <c r="D63">
        <v>406</v>
      </c>
      <c r="E63">
        <v>312</v>
      </c>
      <c r="F63">
        <v>0</v>
      </c>
      <c r="G63" s="22">
        <f>LineCount[[#This Row],[code]]+LineCount[[#This Row],[comments]]+LineCount[[#This Row],[blanks]]</f>
        <v>3024</v>
      </c>
      <c r="H63" s="23">
        <f t="shared" si="0"/>
        <v>100.8</v>
      </c>
    </row>
    <row r="64" spans="1:8" x14ac:dyDescent="0.2">
      <c r="A64" s="1">
        <v>44627</v>
      </c>
      <c r="B64">
        <v>30</v>
      </c>
      <c r="C64">
        <v>2313</v>
      </c>
      <c r="D64">
        <v>406</v>
      </c>
      <c r="E64">
        <v>312</v>
      </c>
      <c r="F64">
        <v>0</v>
      </c>
      <c r="G64" s="22">
        <f>LineCount[[#This Row],[code]]+LineCount[[#This Row],[comments]]+LineCount[[#This Row],[blanks]]</f>
        <v>3031</v>
      </c>
      <c r="H64" s="23">
        <f t="shared" si="0"/>
        <v>101.03333333333333</v>
      </c>
    </row>
    <row r="65" spans="1:8" x14ac:dyDescent="0.2">
      <c r="A65" s="1">
        <v>44628</v>
      </c>
      <c r="B65">
        <v>30</v>
      </c>
      <c r="C65">
        <v>2324</v>
      </c>
      <c r="D65">
        <v>396</v>
      </c>
      <c r="E65">
        <v>313</v>
      </c>
      <c r="F65">
        <v>0</v>
      </c>
      <c r="G65" s="22">
        <f>LineCount[[#This Row],[code]]+LineCount[[#This Row],[comments]]+LineCount[[#This Row],[blanks]]</f>
        <v>3033</v>
      </c>
      <c r="H65" s="23">
        <f t="shared" si="0"/>
        <v>101.1</v>
      </c>
    </row>
    <row r="66" spans="1:8" x14ac:dyDescent="0.2">
      <c r="A66" s="1">
        <v>44632</v>
      </c>
      <c r="B66">
        <v>30</v>
      </c>
      <c r="C66">
        <v>2347</v>
      </c>
      <c r="D66">
        <v>392</v>
      </c>
      <c r="E66">
        <v>314</v>
      </c>
      <c r="F66">
        <v>0</v>
      </c>
      <c r="G66" s="22">
        <f>LineCount[[#This Row],[code]]+LineCount[[#This Row],[comments]]+LineCount[[#This Row],[blanks]]</f>
        <v>3053</v>
      </c>
      <c r="H66" s="23">
        <f t="shared" ref="H66:H129" si="1">G66/B66</f>
        <v>101.76666666666667</v>
      </c>
    </row>
    <row r="67" spans="1:8" x14ac:dyDescent="0.2">
      <c r="A67" s="1">
        <v>44633</v>
      </c>
      <c r="B67">
        <v>30</v>
      </c>
      <c r="C67">
        <v>2350</v>
      </c>
      <c r="D67">
        <v>392</v>
      </c>
      <c r="E67">
        <v>315</v>
      </c>
      <c r="F67">
        <v>0</v>
      </c>
      <c r="G67" s="22">
        <f>LineCount[[#This Row],[code]]+LineCount[[#This Row],[comments]]+LineCount[[#This Row],[blanks]]</f>
        <v>3057</v>
      </c>
      <c r="H67" s="23">
        <f t="shared" si="1"/>
        <v>101.9</v>
      </c>
    </row>
    <row r="68" spans="1:8" x14ac:dyDescent="0.2">
      <c r="A68" s="1">
        <v>44637</v>
      </c>
      <c r="B68">
        <v>31</v>
      </c>
      <c r="C68">
        <v>2380</v>
      </c>
      <c r="D68">
        <v>391</v>
      </c>
      <c r="E68">
        <v>319</v>
      </c>
      <c r="F68">
        <v>0</v>
      </c>
      <c r="G68" s="22">
        <f>LineCount[[#This Row],[code]]+LineCount[[#This Row],[comments]]+LineCount[[#This Row],[blanks]]</f>
        <v>3090</v>
      </c>
      <c r="H68" s="23">
        <f t="shared" si="1"/>
        <v>99.677419354838705</v>
      </c>
    </row>
    <row r="69" spans="1:8" x14ac:dyDescent="0.2">
      <c r="A69" s="1">
        <v>44644</v>
      </c>
      <c r="B69">
        <v>31</v>
      </c>
      <c r="C69">
        <v>2394</v>
      </c>
      <c r="D69">
        <v>393</v>
      </c>
      <c r="E69">
        <v>322</v>
      </c>
      <c r="F69">
        <v>0</v>
      </c>
      <c r="G69" s="22">
        <f>LineCount[[#This Row],[code]]+LineCount[[#This Row],[comments]]+LineCount[[#This Row],[blanks]]</f>
        <v>3109</v>
      </c>
      <c r="H69" s="23">
        <f t="shared" si="1"/>
        <v>100.29032258064517</v>
      </c>
    </row>
    <row r="70" spans="1:8" x14ac:dyDescent="0.2">
      <c r="A70" s="1">
        <v>44645</v>
      </c>
      <c r="B70">
        <v>31</v>
      </c>
      <c r="C70">
        <v>2404</v>
      </c>
      <c r="D70">
        <v>396</v>
      </c>
      <c r="E70">
        <v>326</v>
      </c>
      <c r="F70">
        <v>0</v>
      </c>
      <c r="G70" s="22">
        <f>LineCount[[#This Row],[code]]+LineCount[[#This Row],[comments]]+LineCount[[#This Row],[blanks]]</f>
        <v>3126</v>
      </c>
      <c r="H70" s="23">
        <f t="shared" si="1"/>
        <v>100.83870967741936</v>
      </c>
    </row>
    <row r="71" spans="1:8" x14ac:dyDescent="0.2">
      <c r="A71" s="1">
        <v>44646</v>
      </c>
      <c r="B71">
        <v>33</v>
      </c>
      <c r="C71">
        <v>2518</v>
      </c>
      <c r="D71">
        <v>419</v>
      </c>
      <c r="E71">
        <v>340</v>
      </c>
      <c r="F71">
        <v>0</v>
      </c>
      <c r="G71" s="22">
        <f>LineCount[[#This Row],[code]]+LineCount[[#This Row],[comments]]+LineCount[[#This Row],[blanks]]</f>
        <v>3277</v>
      </c>
      <c r="H71" s="23">
        <f t="shared" si="1"/>
        <v>99.303030303030297</v>
      </c>
    </row>
    <row r="72" spans="1:8" x14ac:dyDescent="0.2">
      <c r="A72" s="1">
        <v>44647</v>
      </c>
      <c r="B72">
        <v>33</v>
      </c>
      <c r="C72">
        <v>2533</v>
      </c>
      <c r="D72">
        <v>413</v>
      </c>
      <c r="E72">
        <v>341</v>
      </c>
      <c r="F72">
        <v>0</v>
      </c>
      <c r="G72" s="22">
        <f>LineCount[[#This Row],[code]]+LineCount[[#This Row],[comments]]+LineCount[[#This Row],[blanks]]</f>
        <v>3287</v>
      </c>
      <c r="H72" s="23">
        <f t="shared" si="1"/>
        <v>99.606060606060609</v>
      </c>
    </row>
    <row r="73" spans="1:8" x14ac:dyDescent="0.2">
      <c r="A73" s="1">
        <v>44648</v>
      </c>
      <c r="B73">
        <v>33</v>
      </c>
      <c r="C73">
        <v>2536</v>
      </c>
      <c r="D73">
        <v>410</v>
      </c>
      <c r="E73">
        <v>338</v>
      </c>
      <c r="F73">
        <v>0</v>
      </c>
      <c r="G73" s="22">
        <f>LineCount[[#This Row],[code]]+LineCount[[#This Row],[comments]]+LineCount[[#This Row],[blanks]]</f>
        <v>3284</v>
      </c>
      <c r="H73" s="23">
        <f t="shared" si="1"/>
        <v>99.515151515151516</v>
      </c>
    </row>
    <row r="74" spans="1:8" x14ac:dyDescent="0.2">
      <c r="A74" s="1">
        <v>44651</v>
      </c>
      <c r="B74">
        <v>33</v>
      </c>
      <c r="C74">
        <v>2580</v>
      </c>
      <c r="D74">
        <v>410</v>
      </c>
      <c r="E74">
        <v>341</v>
      </c>
      <c r="F74">
        <v>0</v>
      </c>
      <c r="G74" s="22">
        <f>LineCount[[#This Row],[code]]+LineCount[[#This Row],[comments]]+LineCount[[#This Row],[blanks]]</f>
        <v>3331</v>
      </c>
      <c r="H74" s="23">
        <f t="shared" si="1"/>
        <v>100.93939393939394</v>
      </c>
    </row>
    <row r="75" spans="1:8" x14ac:dyDescent="0.2">
      <c r="A75" s="1">
        <v>44652</v>
      </c>
      <c r="B75">
        <v>33</v>
      </c>
      <c r="C75">
        <v>2582</v>
      </c>
      <c r="D75">
        <v>410</v>
      </c>
      <c r="E75">
        <v>341</v>
      </c>
      <c r="F75">
        <v>0</v>
      </c>
      <c r="G75" s="22">
        <f>LineCount[[#This Row],[code]]+LineCount[[#This Row],[comments]]+LineCount[[#This Row],[blanks]]</f>
        <v>3333</v>
      </c>
      <c r="H75" s="23">
        <f t="shared" si="1"/>
        <v>101</v>
      </c>
    </row>
    <row r="76" spans="1:8" x14ac:dyDescent="0.2">
      <c r="A76" s="1">
        <v>44653</v>
      </c>
      <c r="B76">
        <v>35</v>
      </c>
      <c r="C76">
        <v>2677</v>
      </c>
      <c r="D76">
        <v>423</v>
      </c>
      <c r="E76">
        <v>350</v>
      </c>
      <c r="F76">
        <v>0</v>
      </c>
      <c r="G76" s="22">
        <f>LineCount[[#This Row],[code]]+LineCount[[#This Row],[comments]]+LineCount[[#This Row],[blanks]]</f>
        <v>3450</v>
      </c>
      <c r="H76" s="23">
        <f t="shared" si="1"/>
        <v>98.571428571428569</v>
      </c>
    </row>
    <row r="77" spans="1:8" x14ac:dyDescent="0.2">
      <c r="A77" s="1">
        <v>44654</v>
      </c>
      <c r="B77">
        <v>35</v>
      </c>
      <c r="C77">
        <v>2692</v>
      </c>
      <c r="D77">
        <v>423</v>
      </c>
      <c r="E77">
        <v>350</v>
      </c>
      <c r="F77">
        <v>0</v>
      </c>
      <c r="G77" s="22">
        <f>LineCount[[#This Row],[code]]+LineCount[[#This Row],[comments]]+LineCount[[#This Row],[blanks]]</f>
        <v>3465</v>
      </c>
      <c r="H77" s="23">
        <f t="shared" si="1"/>
        <v>99</v>
      </c>
    </row>
    <row r="78" spans="1:8" x14ac:dyDescent="0.2">
      <c r="A78" s="1">
        <v>44655</v>
      </c>
      <c r="B78">
        <v>36</v>
      </c>
      <c r="C78">
        <v>2707</v>
      </c>
      <c r="D78">
        <v>429</v>
      </c>
      <c r="E78">
        <v>353</v>
      </c>
      <c r="F78">
        <v>0</v>
      </c>
      <c r="G78" s="22">
        <f>LineCount[[#This Row],[code]]+LineCount[[#This Row],[comments]]+LineCount[[#This Row],[blanks]]</f>
        <v>3489</v>
      </c>
      <c r="H78" s="23">
        <f t="shared" si="1"/>
        <v>96.916666666666671</v>
      </c>
    </row>
    <row r="79" spans="1:8" x14ac:dyDescent="0.2">
      <c r="A79" s="1">
        <v>44656</v>
      </c>
      <c r="B79">
        <v>36</v>
      </c>
      <c r="C79">
        <v>2715</v>
      </c>
      <c r="D79">
        <v>426</v>
      </c>
      <c r="E79">
        <v>355</v>
      </c>
      <c r="F79">
        <v>0</v>
      </c>
      <c r="G79" s="22">
        <f>LineCount[[#This Row],[code]]+LineCount[[#This Row],[comments]]+LineCount[[#This Row],[blanks]]</f>
        <v>3496</v>
      </c>
      <c r="H79" s="23">
        <f t="shared" si="1"/>
        <v>97.111111111111114</v>
      </c>
    </row>
    <row r="80" spans="1:8" x14ac:dyDescent="0.2">
      <c r="A80" s="1">
        <v>44661</v>
      </c>
      <c r="B80">
        <v>33</v>
      </c>
      <c r="C80">
        <v>2730</v>
      </c>
      <c r="D80">
        <v>439</v>
      </c>
      <c r="E80">
        <v>357</v>
      </c>
      <c r="F80">
        <v>0</v>
      </c>
      <c r="G80" s="22">
        <f>LineCount[[#This Row],[code]]+LineCount[[#This Row],[comments]]+LineCount[[#This Row],[blanks]]</f>
        <v>3526</v>
      </c>
      <c r="H80" s="23">
        <f t="shared" si="1"/>
        <v>106.84848484848484</v>
      </c>
    </row>
    <row r="81" spans="1:8" x14ac:dyDescent="0.2">
      <c r="A81" s="1">
        <v>44663</v>
      </c>
      <c r="B81">
        <v>33</v>
      </c>
      <c r="C81">
        <v>2762</v>
      </c>
      <c r="D81">
        <v>439</v>
      </c>
      <c r="E81">
        <v>357</v>
      </c>
      <c r="F81">
        <v>0</v>
      </c>
      <c r="G81" s="22">
        <f>LineCount[[#This Row],[code]]+LineCount[[#This Row],[comments]]+LineCount[[#This Row],[blanks]]</f>
        <v>3558</v>
      </c>
      <c r="H81" s="23">
        <f t="shared" si="1"/>
        <v>107.81818181818181</v>
      </c>
    </row>
    <row r="82" spans="1:8" x14ac:dyDescent="0.2">
      <c r="A82" s="1">
        <v>44668</v>
      </c>
      <c r="B82">
        <v>36</v>
      </c>
      <c r="C82">
        <v>2730</v>
      </c>
      <c r="D82">
        <v>439</v>
      </c>
      <c r="E82">
        <v>357</v>
      </c>
      <c r="F82">
        <v>0</v>
      </c>
      <c r="G82" s="22">
        <f>LineCount[[#This Row],[code]]+LineCount[[#This Row],[comments]]+LineCount[[#This Row],[blanks]]</f>
        <v>3526</v>
      </c>
      <c r="H82" s="23">
        <f t="shared" si="1"/>
        <v>97.944444444444443</v>
      </c>
    </row>
    <row r="83" spans="1:8" x14ac:dyDescent="0.2">
      <c r="A83" s="1">
        <v>44669</v>
      </c>
      <c r="B83">
        <v>37</v>
      </c>
      <c r="C83">
        <v>3084</v>
      </c>
      <c r="D83">
        <v>445</v>
      </c>
      <c r="E83">
        <v>362</v>
      </c>
      <c r="F83">
        <v>0</v>
      </c>
      <c r="G83" s="22">
        <f>LineCount[[#This Row],[code]]+LineCount[[#This Row],[comments]]+LineCount[[#This Row],[blanks]]</f>
        <v>3891</v>
      </c>
      <c r="H83" s="23">
        <f t="shared" si="1"/>
        <v>105.16216216216216</v>
      </c>
    </row>
    <row r="84" spans="1:8" x14ac:dyDescent="0.2">
      <c r="A84" s="1">
        <v>44672</v>
      </c>
      <c r="B84">
        <v>37</v>
      </c>
      <c r="C84">
        <v>3101</v>
      </c>
      <c r="D84">
        <v>445</v>
      </c>
      <c r="E84">
        <v>362</v>
      </c>
      <c r="F84">
        <v>0</v>
      </c>
      <c r="G84" s="22">
        <f>LineCount[[#This Row],[code]]+LineCount[[#This Row],[comments]]+LineCount[[#This Row],[blanks]]</f>
        <v>3908</v>
      </c>
      <c r="H84" s="23">
        <f t="shared" si="1"/>
        <v>105.62162162162163</v>
      </c>
    </row>
    <row r="85" spans="1:8" x14ac:dyDescent="0.2">
      <c r="A85" s="1">
        <v>44674</v>
      </c>
      <c r="B85">
        <v>36</v>
      </c>
      <c r="C85">
        <v>2961</v>
      </c>
      <c r="D85">
        <v>439</v>
      </c>
      <c r="E85">
        <v>363</v>
      </c>
      <c r="F85">
        <v>0</v>
      </c>
      <c r="G85" s="22">
        <f>LineCount[[#This Row],[code]]+LineCount[[#This Row],[comments]]+LineCount[[#This Row],[blanks]]</f>
        <v>3763</v>
      </c>
      <c r="H85" s="23">
        <f t="shared" si="1"/>
        <v>104.52777777777777</v>
      </c>
    </row>
    <row r="86" spans="1:8" x14ac:dyDescent="0.2">
      <c r="A86" s="1">
        <v>44675</v>
      </c>
      <c r="B86">
        <v>36</v>
      </c>
      <c r="C86">
        <v>2941</v>
      </c>
      <c r="D86">
        <v>439</v>
      </c>
      <c r="E86">
        <v>364</v>
      </c>
      <c r="F86">
        <v>0</v>
      </c>
      <c r="G86" s="22">
        <f>LineCount[[#This Row],[code]]+LineCount[[#This Row],[comments]]+LineCount[[#This Row],[blanks]]</f>
        <v>3744</v>
      </c>
      <c r="H86" s="23">
        <f t="shared" si="1"/>
        <v>104</v>
      </c>
    </row>
    <row r="87" spans="1:8" x14ac:dyDescent="0.2">
      <c r="A87" s="1">
        <v>44678</v>
      </c>
      <c r="B87">
        <v>36</v>
      </c>
      <c r="C87">
        <v>2952</v>
      </c>
      <c r="D87">
        <v>439</v>
      </c>
      <c r="E87">
        <v>361</v>
      </c>
      <c r="F87">
        <v>0</v>
      </c>
      <c r="G87" s="22">
        <f>LineCount[[#This Row],[code]]+LineCount[[#This Row],[comments]]+LineCount[[#This Row],[blanks]]</f>
        <v>3752</v>
      </c>
      <c r="H87" s="23">
        <f t="shared" si="1"/>
        <v>104.22222222222223</v>
      </c>
    </row>
    <row r="88" spans="1:8" x14ac:dyDescent="0.2">
      <c r="A88" s="1">
        <v>44682</v>
      </c>
      <c r="B88">
        <v>36</v>
      </c>
      <c r="C88">
        <v>2937</v>
      </c>
      <c r="D88">
        <v>400</v>
      </c>
      <c r="E88">
        <v>367</v>
      </c>
      <c r="F88">
        <v>0</v>
      </c>
      <c r="G88" s="22">
        <f>LineCount[[#This Row],[code]]+LineCount[[#This Row],[comments]]+LineCount[[#This Row],[blanks]]</f>
        <v>3704</v>
      </c>
      <c r="H88" s="23">
        <f t="shared" si="1"/>
        <v>102.88888888888889</v>
      </c>
    </row>
    <row r="89" spans="1:8" x14ac:dyDescent="0.2">
      <c r="A89" s="1">
        <v>44686</v>
      </c>
      <c r="B89">
        <v>36</v>
      </c>
      <c r="C89">
        <v>2927</v>
      </c>
      <c r="D89">
        <v>399</v>
      </c>
      <c r="E89">
        <v>365</v>
      </c>
      <c r="F89">
        <v>0</v>
      </c>
      <c r="G89" s="22">
        <f>LineCount[[#This Row],[code]]+LineCount[[#This Row],[comments]]+LineCount[[#This Row],[blanks]]</f>
        <v>3691</v>
      </c>
      <c r="H89" s="23">
        <f t="shared" si="1"/>
        <v>102.52777777777777</v>
      </c>
    </row>
    <row r="90" spans="1:8" x14ac:dyDescent="0.2">
      <c r="A90" s="1">
        <v>44688</v>
      </c>
      <c r="B90">
        <v>36</v>
      </c>
      <c r="C90">
        <v>2955</v>
      </c>
      <c r="D90">
        <v>399</v>
      </c>
      <c r="E90">
        <v>365</v>
      </c>
      <c r="F90">
        <v>0</v>
      </c>
      <c r="G90" s="22">
        <f>LineCount[[#This Row],[code]]+LineCount[[#This Row],[comments]]+LineCount[[#This Row],[blanks]]</f>
        <v>3719</v>
      </c>
      <c r="H90" s="23">
        <f t="shared" si="1"/>
        <v>103.30555555555556</v>
      </c>
    </row>
    <row r="91" spans="1:8" x14ac:dyDescent="0.2">
      <c r="A91" s="1">
        <v>44689</v>
      </c>
      <c r="B91">
        <v>36</v>
      </c>
      <c r="C91">
        <v>2931</v>
      </c>
      <c r="D91">
        <v>399</v>
      </c>
      <c r="E91">
        <v>364</v>
      </c>
      <c r="F91">
        <v>0</v>
      </c>
      <c r="G91" s="22">
        <f>LineCount[[#This Row],[code]]+LineCount[[#This Row],[comments]]+LineCount[[#This Row],[blanks]]</f>
        <v>3694</v>
      </c>
      <c r="H91" s="23">
        <f t="shared" si="1"/>
        <v>102.61111111111111</v>
      </c>
    </row>
    <row r="92" spans="1:8" x14ac:dyDescent="0.2">
      <c r="A92" s="1">
        <v>44690</v>
      </c>
      <c r="B92">
        <v>36</v>
      </c>
      <c r="C92">
        <v>2932</v>
      </c>
      <c r="D92">
        <v>403</v>
      </c>
      <c r="E92">
        <v>365</v>
      </c>
      <c r="F92">
        <v>0</v>
      </c>
      <c r="G92" s="22">
        <f>LineCount[[#This Row],[code]]+LineCount[[#This Row],[comments]]+LineCount[[#This Row],[blanks]]</f>
        <v>3700</v>
      </c>
      <c r="H92" s="23">
        <f t="shared" si="1"/>
        <v>102.77777777777777</v>
      </c>
    </row>
    <row r="93" spans="1:8" x14ac:dyDescent="0.2">
      <c r="A93" s="1">
        <v>44698</v>
      </c>
      <c r="B93">
        <v>36</v>
      </c>
      <c r="C93">
        <v>2940</v>
      </c>
      <c r="D93">
        <v>403</v>
      </c>
      <c r="E93">
        <v>367</v>
      </c>
      <c r="F93">
        <v>0</v>
      </c>
      <c r="G93" s="22">
        <f>LineCount[[#This Row],[code]]+LineCount[[#This Row],[comments]]+LineCount[[#This Row],[blanks]]</f>
        <v>3710</v>
      </c>
      <c r="H93" s="23">
        <f t="shared" si="1"/>
        <v>103.05555555555556</v>
      </c>
    </row>
    <row r="94" spans="1:8" x14ac:dyDescent="0.2">
      <c r="A94" s="1">
        <v>44700</v>
      </c>
      <c r="B94">
        <v>36</v>
      </c>
      <c r="C94">
        <v>2952</v>
      </c>
      <c r="D94">
        <v>407</v>
      </c>
      <c r="E94">
        <v>368</v>
      </c>
      <c r="F94">
        <v>0</v>
      </c>
      <c r="G94" s="22">
        <f>LineCount[[#This Row],[code]]+LineCount[[#This Row],[comments]]+LineCount[[#This Row],[blanks]]</f>
        <v>3727</v>
      </c>
      <c r="H94" s="23">
        <f t="shared" si="1"/>
        <v>103.52777777777777</v>
      </c>
    </row>
    <row r="95" spans="1:8" x14ac:dyDescent="0.2">
      <c r="A95" s="1">
        <v>44701</v>
      </c>
      <c r="B95">
        <v>36</v>
      </c>
      <c r="C95">
        <v>2949</v>
      </c>
      <c r="D95">
        <v>404</v>
      </c>
      <c r="E95">
        <v>368</v>
      </c>
      <c r="F95">
        <v>0</v>
      </c>
      <c r="G95" s="22">
        <f>LineCount[[#This Row],[code]]+LineCount[[#This Row],[comments]]+LineCount[[#This Row],[blanks]]</f>
        <v>3721</v>
      </c>
      <c r="H95" s="23">
        <f t="shared" si="1"/>
        <v>103.36111111111111</v>
      </c>
    </row>
    <row r="96" spans="1:8" x14ac:dyDescent="0.2">
      <c r="A96" s="1">
        <v>44702</v>
      </c>
      <c r="B96">
        <v>36</v>
      </c>
      <c r="C96">
        <v>2949</v>
      </c>
      <c r="D96">
        <v>404</v>
      </c>
      <c r="E96">
        <v>368</v>
      </c>
      <c r="F96">
        <v>0</v>
      </c>
      <c r="G96" s="22">
        <f>LineCount[[#This Row],[code]]+LineCount[[#This Row],[comments]]+LineCount[[#This Row],[blanks]]</f>
        <v>3721</v>
      </c>
      <c r="H96" s="23">
        <f t="shared" si="1"/>
        <v>103.36111111111111</v>
      </c>
    </row>
    <row r="97" spans="1:8" x14ac:dyDescent="0.2">
      <c r="A97" s="1">
        <v>44707</v>
      </c>
      <c r="B97">
        <v>37</v>
      </c>
      <c r="C97">
        <v>3014</v>
      </c>
      <c r="D97">
        <v>411</v>
      </c>
      <c r="E97">
        <v>374</v>
      </c>
      <c r="F97">
        <v>0</v>
      </c>
      <c r="G97" s="22">
        <f>LineCount[[#This Row],[code]]+LineCount[[#This Row],[comments]]+LineCount[[#This Row],[blanks]]</f>
        <v>3799</v>
      </c>
      <c r="H97" s="23">
        <f t="shared" si="1"/>
        <v>102.67567567567568</v>
      </c>
    </row>
    <row r="98" spans="1:8" x14ac:dyDescent="0.2">
      <c r="A98" s="1">
        <v>44709</v>
      </c>
      <c r="B98">
        <v>36</v>
      </c>
      <c r="C98">
        <v>3023</v>
      </c>
      <c r="D98">
        <v>417</v>
      </c>
      <c r="E98">
        <v>377</v>
      </c>
      <c r="F98">
        <v>0</v>
      </c>
      <c r="G98" s="22">
        <f>LineCount[[#This Row],[code]]+LineCount[[#This Row],[comments]]+LineCount[[#This Row],[blanks]]</f>
        <v>3817</v>
      </c>
      <c r="H98" s="23">
        <f t="shared" si="1"/>
        <v>106.02777777777777</v>
      </c>
    </row>
    <row r="99" spans="1:8" x14ac:dyDescent="0.2">
      <c r="A99" s="1">
        <v>44781</v>
      </c>
      <c r="B99">
        <v>39</v>
      </c>
      <c r="C99">
        <v>3079</v>
      </c>
      <c r="D99">
        <v>423</v>
      </c>
      <c r="E99">
        <v>384</v>
      </c>
      <c r="F99">
        <v>0</v>
      </c>
      <c r="G99" s="22">
        <f>LineCount[[#This Row],[code]]+LineCount[[#This Row],[comments]]+LineCount[[#This Row],[blanks]]</f>
        <v>3886</v>
      </c>
      <c r="H99" s="23">
        <f t="shared" si="1"/>
        <v>99.641025641025635</v>
      </c>
    </row>
    <row r="100" spans="1:8" x14ac:dyDescent="0.2">
      <c r="A100" s="1">
        <v>44785</v>
      </c>
      <c r="B100">
        <v>39</v>
      </c>
      <c r="C100">
        <v>3083</v>
      </c>
      <c r="D100">
        <v>423</v>
      </c>
      <c r="E100">
        <v>384</v>
      </c>
      <c r="F100">
        <v>0</v>
      </c>
      <c r="G100" s="22">
        <f>LineCount[[#This Row],[code]]+LineCount[[#This Row],[comments]]+LineCount[[#This Row],[blanks]]</f>
        <v>3890</v>
      </c>
      <c r="H100" s="23">
        <f t="shared" si="1"/>
        <v>99.743589743589737</v>
      </c>
    </row>
    <row r="101" spans="1:8" x14ac:dyDescent="0.2">
      <c r="A101" s="1">
        <v>44787</v>
      </c>
      <c r="B101">
        <v>39</v>
      </c>
      <c r="C101">
        <v>3084</v>
      </c>
      <c r="D101">
        <v>423</v>
      </c>
      <c r="E101">
        <v>384</v>
      </c>
      <c r="F101">
        <v>0</v>
      </c>
      <c r="G101" s="22">
        <f>LineCount[[#This Row],[code]]+LineCount[[#This Row],[comments]]+LineCount[[#This Row],[blanks]]</f>
        <v>3891</v>
      </c>
      <c r="H101" s="23">
        <f t="shared" si="1"/>
        <v>99.769230769230774</v>
      </c>
    </row>
    <row r="102" spans="1:8" x14ac:dyDescent="0.2">
      <c r="A102" s="1">
        <v>44808</v>
      </c>
      <c r="B102">
        <v>39</v>
      </c>
      <c r="C102">
        <v>3104</v>
      </c>
      <c r="D102">
        <v>423</v>
      </c>
      <c r="E102">
        <v>382</v>
      </c>
      <c r="F102">
        <v>0</v>
      </c>
      <c r="G102" s="22">
        <f>LineCount[[#This Row],[code]]+LineCount[[#This Row],[comments]]+LineCount[[#This Row],[blanks]]</f>
        <v>3909</v>
      </c>
      <c r="H102" s="23">
        <f t="shared" si="1"/>
        <v>100.23076923076923</v>
      </c>
    </row>
    <row r="103" spans="1:8" x14ac:dyDescent="0.2">
      <c r="A103" s="1">
        <v>44812</v>
      </c>
      <c r="B103">
        <v>39</v>
      </c>
      <c r="C103">
        <v>3123</v>
      </c>
      <c r="D103">
        <v>422</v>
      </c>
      <c r="E103">
        <v>385</v>
      </c>
      <c r="F103">
        <v>0</v>
      </c>
      <c r="G103" s="22">
        <f>LineCount[[#This Row],[code]]+LineCount[[#This Row],[comments]]+LineCount[[#This Row],[blanks]]</f>
        <v>3930</v>
      </c>
      <c r="H103" s="23">
        <f t="shared" si="1"/>
        <v>100.76923076923077</v>
      </c>
    </row>
    <row r="104" spans="1:8" x14ac:dyDescent="0.2">
      <c r="A104" s="1">
        <v>44814</v>
      </c>
      <c r="B104">
        <v>39</v>
      </c>
      <c r="C104">
        <v>3135</v>
      </c>
      <c r="D104">
        <v>422</v>
      </c>
      <c r="E104">
        <v>386</v>
      </c>
      <c r="F104">
        <v>0</v>
      </c>
      <c r="G104" s="22">
        <f>LineCount[[#This Row],[code]]+LineCount[[#This Row],[comments]]+LineCount[[#This Row],[blanks]]</f>
        <v>3943</v>
      </c>
      <c r="H104" s="23">
        <f t="shared" si="1"/>
        <v>101.1025641025641</v>
      </c>
    </row>
    <row r="105" spans="1:8" x14ac:dyDescent="0.2">
      <c r="A105" s="1">
        <v>44815</v>
      </c>
      <c r="B105">
        <v>39</v>
      </c>
      <c r="C105">
        <v>3163</v>
      </c>
      <c r="D105">
        <v>423</v>
      </c>
      <c r="E105">
        <v>387</v>
      </c>
      <c r="F105">
        <v>0</v>
      </c>
      <c r="G105" s="22">
        <f>LineCount[[#This Row],[code]]+LineCount[[#This Row],[comments]]+LineCount[[#This Row],[blanks]]</f>
        <v>3973</v>
      </c>
      <c r="H105" s="23">
        <f t="shared" si="1"/>
        <v>101.87179487179488</v>
      </c>
    </row>
    <row r="106" spans="1:8" x14ac:dyDescent="0.2">
      <c r="A106" s="1">
        <v>44821</v>
      </c>
      <c r="B106">
        <v>39</v>
      </c>
      <c r="C106">
        <v>3069</v>
      </c>
      <c r="D106">
        <v>423</v>
      </c>
      <c r="E106">
        <v>381</v>
      </c>
      <c r="F106">
        <v>0</v>
      </c>
      <c r="G106" s="22">
        <f>LineCount[[#This Row],[code]]+LineCount[[#This Row],[comments]]+LineCount[[#This Row],[blanks]]</f>
        <v>3873</v>
      </c>
      <c r="H106" s="23">
        <f t="shared" si="1"/>
        <v>99.307692307692307</v>
      </c>
    </row>
    <row r="107" spans="1:8" x14ac:dyDescent="0.2">
      <c r="A107" s="1">
        <v>44823</v>
      </c>
      <c r="B107">
        <v>39</v>
      </c>
      <c r="C107">
        <v>3069</v>
      </c>
      <c r="D107">
        <v>423</v>
      </c>
      <c r="E107">
        <v>381</v>
      </c>
      <c r="F107">
        <v>0</v>
      </c>
      <c r="G107" s="22">
        <f>LineCount[[#This Row],[code]]+LineCount[[#This Row],[comments]]+LineCount[[#This Row],[blanks]]</f>
        <v>3873</v>
      </c>
      <c r="H107" s="23">
        <f t="shared" si="1"/>
        <v>99.307692307692307</v>
      </c>
    </row>
    <row r="108" spans="1:8" x14ac:dyDescent="0.2">
      <c r="A108" s="1">
        <v>44824</v>
      </c>
      <c r="B108">
        <v>39</v>
      </c>
      <c r="C108">
        <v>3161</v>
      </c>
      <c r="D108">
        <v>449</v>
      </c>
      <c r="E108">
        <v>389</v>
      </c>
      <c r="F108">
        <v>0</v>
      </c>
      <c r="G108" s="22">
        <f>LineCount[[#This Row],[code]]+LineCount[[#This Row],[comments]]+LineCount[[#This Row],[blanks]]</f>
        <v>3999</v>
      </c>
      <c r="H108" s="23">
        <f t="shared" si="1"/>
        <v>102.53846153846153</v>
      </c>
    </row>
    <row r="109" spans="1:8" x14ac:dyDescent="0.2">
      <c r="A109" s="1">
        <v>44829</v>
      </c>
      <c r="B109">
        <v>39</v>
      </c>
      <c r="C109">
        <v>3185</v>
      </c>
      <c r="D109">
        <v>459</v>
      </c>
      <c r="E109">
        <v>388</v>
      </c>
      <c r="F109">
        <v>0</v>
      </c>
      <c r="G109" s="22">
        <f>LineCount[[#This Row],[code]]+LineCount[[#This Row],[comments]]+LineCount[[#This Row],[blanks]]</f>
        <v>4032</v>
      </c>
      <c r="H109" s="23">
        <f t="shared" si="1"/>
        <v>103.38461538461539</v>
      </c>
    </row>
    <row r="110" spans="1:8" x14ac:dyDescent="0.2">
      <c r="A110" s="1">
        <v>44842</v>
      </c>
      <c r="B110">
        <v>39</v>
      </c>
      <c r="C110">
        <v>3297</v>
      </c>
      <c r="D110">
        <v>457</v>
      </c>
      <c r="E110">
        <v>403</v>
      </c>
      <c r="F110">
        <v>0</v>
      </c>
      <c r="G110" s="22">
        <f>LineCount[[#This Row],[code]]+LineCount[[#This Row],[comments]]+LineCount[[#This Row],[blanks]]</f>
        <v>4157</v>
      </c>
      <c r="H110" s="23">
        <f t="shared" si="1"/>
        <v>106.58974358974359</v>
      </c>
    </row>
    <row r="111" spans="1:8" x14ac:dyDescent="0.2">
      <c r="A111" s="1">
        <v>44846</v>
      </c>
      <c r="B111">
        <v>39</v>
      </c>
      <c r="C111">
        <v>3302</v>
      </c>
      <c r="D111">
        <v>458</v>
      </c>
      <c r="E111">
        <v>403</v>
      </c>
      <c r="F111">
        <v>0</v>
      </c>
      <c r="G111" s="22">
        <f>LineCount[[#This Row],[code]]+LineCount[[#This Row],[comments]]+LineCount[[#This Row],[blanks]]</f>
        <v>4163</v>
      </c>
      <c r="H111" s="23">
        <f t="shared" si="1"/>
        <v>106.74358974358974</v>
      </c>
    </row>
    <row r="112" spans="1:8" x14ac:dyDescent="0.2">
      <c r="A112" s="1">
        <v>44857</v>
      </c>
      <c r="B112">
        <v>39</v>
      </c>
      <c r="C112">
        <v>3319</v>
      </c>
      <c r="D112">
        <v>458</v>
      </c>
      <c r="E112">
        <v>403</v>
      </c>
      <c r="F112">
        <v>0</v>
      </c>
      <c r="G112" s="22">
        <f>LineCount[[#This Row],[code]]+LineCount[[#This Row],[comments]]+LineCount[[#This Row],[blanks]]</f>
        <v>4180</v>
      </c>
      <c r="H112" s="23">
        <f t="shared" si="1"/>
        <v>107.17948717948718</v>
      </c>
    </row>
    <row r="113" spans="1:8" x14ac:dyDescent="0.2">
      <c r="A113" s="1">
        <v>44892</v>
      </c>
      <c r="B113">
        <v>39</v>
      </c>
      <c r="C113">
        <v>3221</v>
      </c>
      <c r="D113">
        <v>413</v>
      </c>
      <c r="E113">
        <v>384</v>
      </c>
      <c r="F113">
        <v>0</v>
      </c>
      <c r="G113" s="22">
        <f>LineCount[[#This Row],[code]]+LineCount[[#This Row],[comments]]+LineCount[[#This Row],[blanks]]</f>
        <v>4018</v>
      </c>
      <c r="H113" s="23">
        <f t="shared" si="1"/>
        <v>103.02564102564102</v>
      </c>
    </row>
    <row r="114" spans="1:8" x14ac:dyDescent="0.2">
      <c r="A114" s="1">
        <v>44899</v>
      </c>
      <c r="B114">
        <v>39</v>
      </c>
      <c r="C114">
        <v>3273</v>
      </c>
      <c r="D114">
        <v>428</v>
      </c>
      <c r="E114">
        <v>378</v>
      </c>
      <c r="F114">
        <v>0</v>
      </c>
      <c r="G114" s="22">
        <f>LineCount[[#This Row],[code]]+LineCount[[#This Row],[comments]]+LineCount[[#This Row],[blanks]]</f>
        <v>4079</v>
      </c>
      <c r="H114" s="23">
        <f t="shared" si="1"/>
        <v>104.58974358974359</v>
      </c>
    </row>
    <row r="115" spans="1:8" x14ac:dyDescent="0.2">
      <c r="A115" s="1">
        <v>44900</v>
      </c>
      <c r="B115">
        <v>39</v>
      </c>
      <c r="C115">
        <v>3282</v>
      </c>
      <c r="D115">
        <v>428</v>
      </c>
      <c r="E115">
        <v>379</v>
      </c>
      <c r="F115">
        <v>0</v>
      </c>
      <c r="G115" s="22">
        <f>LineCount[[#This Row],[code]]+LineCount[[#This Row],[comments]]+LineCount[[#This Row],[blanks]]</f>
        <v>4089</v>
      </c>
      <c r="H115" s="23">
        <f t="shared" si="1"/>
        <v>104.84615384615384</v>
      </c>
    </row>
    <row r="116" spans="1:8" x14ac:dyDescent="0.2">
      <c r="A116" s="1">
        <v>44903</v>
      </c>
      <c r="B116">
        <v>39</v>
      </c>
      <c r="C116">
        <v>3249</v>
      </c>
      <c r="D116">
        <v>434</v>
      </c>
      <c r="E116">
        <v>381</v>
      </c>
      <c r="F116">
        <v>0</v>
      </c>
      <c r="G116" s="22">
        <f>LineCount[[#This Row],[code]]+LineCount[[#This Row],[comments]]+LineCount[[#This Row],[blanks]]</f>
        <v>4064</v>
      </c>
      <c r="H116" s="23">
        <f t="shared" si="1"/>
        <v>104.2051282051282</v>
      </c>
    </row>
    <row r="117" spans="1:8" x14ac:dyDescent="0.2">
      <c r="A117" s="1">
        <v>44904</v>
      </c>
      <c r="B117">
        <v>39</v>
      </c>
      <c r="C117">
        <v>3255</v>
      </c>
      <c r="D117">
        <v>434</v>
      </c>
      <c r="E117">
        <v>381</v>
      </c>
      <c r="F117">
        <v>0</v>
      </c>
      <c r="G117" s="22">
        <f>LineCount[[#This Row],[code]]+LineCount[[#This Row],[comments]]+LineCount[[#This Row],[blanks]]</f>
        <v>4070</v>
      </c>
      <c r="H117" s="23">
        <f t="shared" si="1"/>
        <v>104.35897435897436</v>
      </c>
    </row>
    <row r="118" spans="1:8" x14ac:dyDescent="0.2">
      <c r="A118" s="1">
        <v>44908</v>
      </c>
      <c r="B118">
        <v>39</v>
      </c>
      <c r="C118">
        <v>3238</v>
      </c>
      <c r="D118">
        <v>436</v>
      </c>
      <c r="E118">
        <v>380</v>
      </c>
      <c r="F118">
        <v>0</v>
      </c>
      <c r="G118" s="22">
        <f>LineCount[[#This Row],[code]]+LineCount[[#This Row],[comments]]+LineCount[[#This Row],[blanks]]</f>
        <v>4054</v>
      </c>
      <c r="H118" s="23">
        <f t="shared" si="1"/>
        <v>103.94871794871794</v>
      </c>
    </row>
    <row r="119" spans="1:8" x14ac:dyDescent="0.2">
      <c r="A119" s="1">
        <v>44910</v>
      </c>
      <c r="B119">
        <v>39</v>
      </c>
      <c r="C119">
        <v>3244</v>
      </c>
      <c r="D119">
        <v>436</v>
      </c>
      <c r="E119">
        <v>381</v>
      </c>
      <c r="F119">
        <v>0</v>
      </c>
      <c r="G119" s="22">
        <f>LineCount[[#This Row],[code]]+LineCount[[#This Row],[comments]]+LineCount[[#This Row],[blanks]]</f>
        <v>4061</v>
      </c>
      <c r="H119" s="23">
        <f t="shared" si="1"/>
        <v>104.12820512820512</v>
      </c>
    </row>
    <row r="120" spans="1:8" x14ac:dyDescent="0.2">
      <c r="A120" s="1">
        <v>44912</v>
      </c>
      <c r="B120">
        <v>40</v>
      </c>
      <c r="C120">
        <v>3243</v>
      </c>
      <c r="D120">
        <v>434</v>
      </c>
      <c r="E120">
        <v>383</v>
      </c>
      <c r="F120">
        <v>0</v>
      </c>
      <c r="G120" s="22">
        <f>LineCount[[#This Row],[code]]+LineCount[[#This Row],[comments]]+LineCount[[#This Row],[blanks]]</f>
        <v>4060</v>
      </c>
      <c r="H120" s="23">
        <f t="shared" si="1"/>
        <v>101.5</v>
      </c>
    </row>
    <row r="121" spans="1:8" x14ac:dyDescent="0.2">
      <c r="A121" s="1">
        <v>44913</v>
      </c>
      <c r="B121">
        <v>40</v>
      </c>
      <c r="C121">
        <v>3260</v>
      </c>
      <c r="D121">
        <v>434</v>
      </c>
      <c r="E121">
        <v>383</v>
      </c>
      <c r="F121">
        <v>0</v>
      </c>
      <c r="G121" s="22">
        <f>LineCount[[#This Row],[code]]+LineCount[[#This Row],[comments]]+LineCount[[#This Row],[blanks]]</f>
        <v>4077</v>
      </c>
      <c r="H121" s="23">
        <f t="shared" si="1"/>
        <v>101.925</v>
      </c>
    </row>
    <row r="122" spans="1:8" x14ac:dyDescent="0.2">
      <c r="A122" s="1">
        <v>44914</v>
      </c>
      <c r="B122">
        <v>40</v>
      </c>
      <c r="C122">
        <v>3262</v>
      </c>
      <c r="D122">
        <v>435</v>
      </c>
      <c r="E122">
        <v>383</v>
      </c>
      <c r="F122">
        <v>0</v>
      </c>
      <c r="G122" s="22">
        <f>LineCount[[#This Row],[code]]+LineCount[[#This Row],[comments]]+LineCount[[#This Row],[blanks]]</f>
        <v>4080</v>
      </c>
      <c r="H122" s="23">
        <f t="shared" si="1"/>
        <v>102</v>
      </c>
    </row>
    <row r="123" spans="1:8" x14ac:dyDescent="0.2">
      <c r="A123" s="1">
        <v>44916</v>
      </c>
      <c r="B123">
        <v>40</v>
      </c>
      <c r="C123">
        <v>3275</v>
      </c>
      <c r="D123">
        <v>434</v>
      </c>
      <c r="E123">
        <v>383</v>
      </c>
      <c r="F123">
        <v>0</v>
      </c>
      <c r="G123" s="22">
        <f>LineCount[[#This Row],[code]]+LineCount[[#This Row],[comments]]+LineCount[[#This Row],[blanks]]</f>
        <v>4092</v>
      </c>
      <c r="H123" s="23">
        <f t="shared" si="1"/>
        <v>102.3</v>
      </c>
    </row>
    <row r="124" spans="1:8" x14ac:dyDescent="0.2">
      <c r="A124" s="1">
        <v>44917</v>
      </c>
      <c r="B124">
        <v>40</v>
      </c>
      <c r="C124">
        <v>3281</v>
      </c>
      <c r="D124">
        <v>434</v>
      </c>
      <c r="E124">
        <v>385</v>
      </c>
      <c r="F124">
        <v>0</v>
      </c>
      <c r="G124" s="22">
        <f>LineCount[[#This Row],[code]]+LineCount[[#This Row],[comments]]+LineCount[[#This Row],[blanks]]</f>
        <v>4100</v>
      </c>
      <c r="H124" s="23">
        <f t="shared" si="1"/>
        <v>102.5</v>
      </c>
    </row>
    <row r="125" spans="1:8" x14ac:dyDescent="0.2">
      <c r="A125" s="1">
        <v>44918</v>
      </c>
      <c r="B125">
        <v>40</v>
      </c>
      <c r="C125">
        <v>3278</v>
      </c>
      <c r="D125">
        <v>436</v>
      </c>
      <c r="E125">
        <v>387</v>
      </c>
      <c r="F125">
        <v>0</v>
      </c>
      <c r="G125" s="22">
        <f>LineCount[[#This Row],[code]]+LineCount[[#This Row],[comments]]+LineCount[[#This Row],[blanks]]</f>
        <v>4101</v>
      </c>
      <c r="H125" s="23">
        <f t="shared" si="1"/>
        <v>102.52500000000001</v>
      </c>
    </row>
    <row r="126" spans="1:8" x14ac:dyDescent="0.2">
      <c r="A126" s="1">
        <v>44919</v>
      </c>
      <c r="B126">
        <v>43</v>
      </c>
      <c r="C126">
        <v>3339</v>
      </c>
      <c r="D126">
        <v>455</v>
      </c>
      <c r="E126">
        <v>398</v>
      </c>
      <c r="F126">
        <v>0</v>
      </c>
      <c r="G126" s="22">
        <f>LineCount[[#This Row],[code]]+LineCount[[#This Row],[comments]]+LineCount[[#This Row],[blanks]]</f>
        <v>4192</v>
      </c>
      <c r="H126" s="23">
        <f t="shared" si="1"/>
        <v>97.488372093023258</v>
      </c>
    </row>
    <row r="127" spans="1:8" x14ac:dyDescent="0.2">
      <c r="A127" s="1">
        <v>44920</v>
      </c>
      <c r="B127">
        <v>43</v>
      </c>
      <c r="C127">
        <v>3410</v>
      </c>
      <c r="D127">
        <v>475</v>
      </c>
      <c r="E127">
        <v>411</v>
      </c>
      <c r="F127">
        <v>0</v>
      </c>
      <c r="G127" s="22">
        <f>LineCount[[#This Row],[code]]+LineCount[[#This Row],[comments]]+LineCount[[#This Row],[blanks]]</f>
        <v>4296</v>
      </c>
      <c r="H127" s="23">
        <f t="shared" si="1"/>
        <v>99.906976744186053</v>
      </c>
    </row>
    <row r="128" spans="1:8" x14ac:dyDescent="0.2">
      <c r="A128" s="1">
        <v>44922</v>
      </c>
      <c r="B128">
        <v>50</v>
      </c>
      <c r="C128">
        <v>3464</v>
      </c>
      <c r="D128">
        <v>518</v>
      </c>
      <c r="E128">
        <v>432</v>
      </c>
      <c r="F128">
        <v>0</v>
      </c>
      <c r="G128" s="22">
        <f>LineCount[[#This Row],[code]]+LineCount[[#This Row],[comments]]+LineCount[[#This Row],[blanks]]</f>
        <v>4414</v>
      </c>
      <c r="H128" s="23">
        <f t="shared" si="1"/>
        <v>88.28</v>
      </c>
    </row>
    <row r="129" spans="1:8" x14ac:dyDescent="0.2">
      <c r="A129" s="1">
        <v>44923</v>
      </c>
      <c r="B129">
        <v>50</v>
      </c>
      <c r="C129">
        <v>3400</v>
      </c>
      <c r="D129">
        <v>488</v>
      </c>
      <c r="E129">
        <v>410</v>
      </c>
      <c r="F129">
        <v>0</v>
      </c>
      <c r="G129" s="22">
        <f>LineCount[[#This Row],[code]]+LineCount[[#This Row],[comments]]+LineCount[[#This Row],[blanks]]</f>
        <v>4298</v>
      </c>
      <c r="H129" s="23">
        <f t="shared" si="1"/>
        <v>85.96</v>
      </c>
    </row>
    <row r="130" spans="1:8" x14ac:dyDescent="0.2">
      <c r="A130" s="1">
        <v>44929</v>
      </c>
      <c r="B130">
        <v>50</v>
      </c>
      <c r="C130">
        <v>3427</v>
      </c>
      <c r="D130">
        <v>485</v>
      </c>
      <c r="E130">
        <v>413</v>
      </c>
      <c r="F130">
        <v>0</v>
      </c>
      <c r="G130" s="22">
        <f>LineCount[[#This Row],[code]]+LineCount[[#This Row],[comments]]+LineCount[[#This Row],[blanks]]</f>
        <v>4325</v>
      </c>
      <c r="H130" s="23">
        <f t="shared" ref="H130:H193" si="2">G130/B130</f>
        <v>86.5</v>
      </c>
    </row>
    <row r="131" spans="1:8" x14ac:dyDescent="0.2">
      <c r="A131" s="1">
        <v>44930</v>
      </c>
      <c r="B131">
        <v>50</v>
      </c>
      <c r="C131">
        <v>3449</v>
      </c>
      <c r="D131">
        <v>486</v>
      </c>
      <c r="E131">
        <v>415</v>
      </c>
      <c r="F131">
        <v>0</v>
      </c>
      <c r="G131" s="22">
        <f>LineCount[[#This Row],[code]]+LineCount[[#This Row],[comments]]+LineCount[[#This Row],[blanks]]</f>
        <v>4350</v>
      </c>
      <c r="H131" s="23">
        <f t="shared" si="2"/>
        <v>87</v>
      </c>
    </row>
    <row r="132" spans="1:8" x14ac:dyDescent="0.2">
      <c r="A132" s="1">
        <v>44936</v>
      </c>
      <c r="B132">
        <v>51</v>
      </c>
      <c r="C132">
        <v>3457</v>
      </c>
      <c r="D132">
        <v>492</v>
      </c>
      <c r="E132">
        <v>418</v>
      </c>
      <c r="F132">
        <v>0</v>
      </c>
      <c r="G132" s="22">
        <f>LineCount[[#This Row],[code]]+LineCount[[#This Row],[comments]]+LineCount[[#This Row],[blanks]]</f>
        <v>4367</v>
      </c>
      <c r="H132" s="23">
        <f t="shared" si="2"/>
        <v>85.627450980392155</v>
      </c>
    </row>
    <row r="133" spans="1:8" x14ac:dyDescent="0.2">
      <c r="A133" s="1">
        <v>44937</v>
      </c>
      <c r="B133">
        <v>51</v>
      </c>
      <c r="C133">
        <v>3460</v>
      </c>
      <c r="D133">
        <v>492</v>
      </c>
      <c r="E133">
        <v>418</v>
      </c>
      <c r="F133">
        <v>0</v>
      </c>
      <c r="G133" s="22">
        <f>LineCount[[#This Row],[code]]+LineCount[[#This Row],[comments]]+LineCount[[#This Row],[blanks]]</f>
        <v>4370</v>
      </c>
      <c r="H133" s="23">
        <f t="shared" si="2"/>
        <v>85.686274509803923</v>
      </c>
    </row>
    <row r="134" spans="1:8" x14ac:dyDescent="0.2">
      <c r="A134" s="1">
        <v>44938</v>
      </c>
      <c r="B134">
        <v>51</v>
      </c>
      <c r="C134">
        <v>3504</v>
      </c>
      <c r="D134">
        <v>508</v>
      </c>
      <c r="E134">
        <v>434</v>
      </c>
      <c r="F134">
        <v>0</v>
      </c>
      <c r="G134" s="22">
        <f>LineCount[[#This Row],[code]]+LineCount[[#This Row],[comments]]+LineCount[[#This Row],[blanks]]</f>
        <v>4446</v>
      </c>
      <c r="H134" s="23">
        <f t="shared" si="2"/>
        <v>87.17647058823529</v>
      </c>
    </row>
    <row r="135" spans="1:8" x14ac:dyDescent="0.2">
      <c r="A135" s="1">
        <v>44944</v>
      </c>
      <c r="B135">
        <v>51</v>
      </c>
      <c r="C135">
        <v>3512</v>
      </c>
      <c r="D135">
        <v>509</v>
      </c>
      <c r="E135">
        <v>438</v>
      </c>
      <c r="F135">
        <v>0</v>
      </c>
      <c r="G135" s="22">
        <f>LineCount[[#This Row],[code]]+LineCount[[#This Row],[comments]]+LineCount[[#This Row],[blanks]]</f>
        <v>4459</v>
      </c>
      <c r="H135" s="23">
        <f t="shared" si="2"/>
        <v>87.431372549019613</v>
      </c>
    </row>
    <row r="136" spans="1:8" x14ac:dyDescent="0.2">
      <c r="A136" s="1">
        <v>44947</v>
      </c>
      <c r="B136">
        <v>51</v>
      </c>
      <c r="C136">
        <v>3515</v>
      </c>
      <c r="D136">
        <v>511</v>
      </c>
      <c r="E136">
        <v>438</v>
      </c>
      <c r="F136">
        <v>0</v>
      </c>
      <c r="G136" s="22">
        <f>LineCount[[#This Row],[code]]+LineCount[[#This Row],[comments]]+LineCount[[#This Row],[blanks]]</f>
        <v>4464</v>
      </c>
      <c r="H136" s="23">
        <f t="shared" si="2"/>
        <v>87.529411764705884</v>
      </c>
    </row>
    <row r="137" spans="1:8" x14ac:dyDescent="0.2">
      <c r="A137" s="1">
        <v>44948</v>
      </c>
      <c r="B137">
        <v>51</v>
      </c>
      <c r="C137">
        <v>3539</v>
      </c>
      <c r="D137">
        <v>511</v>
      </c>
      <c r="E137">
        <v>443</v>
      </c>
      <c r="F137">
        <v>0</v>
      </c>
      <c r="G137" s="22">
        <f>LineCount[[#This Row],[code]]+LineCount[[#This Row],[comments]]+LineCount[[#This Row],[blanks]]</f>
        <v>4493</v>
      </c>
      <c r="H137" s="23">
        <f t="shared" si="2"/>
        <v>88.098039215686271</v>
      </c>
    </row>
    <row r="138" spans="1:8" x14ac:dyDescent="0.2">
      <c r="A138" s="1">
        <v>44950</v>
      </c>
      <c r="B138">
        <v>51</v>
      </c>
      <c r="C138">
        <v>3545</v>
      </c>
      <c r="D138">
        <v>508</v>
      </c>
      <c r="E138">
        <v>443</v>
      </c>
      <c r="F138">
        <v>0</v>
      </c>
      <c r="G138" s="22">
        <f>LineCount[[#This Row],[code]]+LineCount[[#This Row],[comments]]+LineCount[[#This Row],[blanks]]</f>
        <v>4496</v>
      </c>
      <c r="H138" s="23">
        <f t="shared" si="2"/>
        <v>88.156862745098039</v>
      </c>
    </row>
    <row r="139" spans="1:8" x14ac:dyDescent="0.2">
      <c r="A139" s="1">
        <v>44952</v>
      </c>
      <c r="B139">
        <v>51</v>
      </c>
      <c r="C139">
        <v>3534</v>
      </c>
      <c r="D139">
        <v>508</v>
      </c>
      <c r="E139">
        <v>443</v>
      </c>
      <c r="F139">
        <v>0</v>
      </c>
      <c r="G139" s="22">
        <f>LineCount[[#This Row],[code]]+LineCount[[#This Row],[comments]]+LineCount[[#This Row],[blanks]]</f>
        <v>4485</v>
      </c>
      <c r="H139" s="23">
        <f t="shared" si="2"/>
        <v>87.941176470588232</v>
      </c>
    </row>
    <row r="140" spans="1:8" x14ac:dyDescent="0.2">
      <c r="A140" s="1">
        <v>44954</v>
      </c>
      <c r="B140">
        <v>51</v>
      </c>
      <c r="C140">
        <v>3564</v>
      </c>
      <c r="D140">
        <v>510</v>
      </c>
      <c r="E140">
        <v>447</v>
      </c>
      <c r="F140">
        <v>0</v>
      </c>
      <c r="G140" s="22">
        <f>LineCount[[#This Row],[code]]+LineCount[[#This Row],[comments]]+LineCount[[#This Row],[blanks]]</f>
        <v>4521</v>
      </c>
      <c r="H140" s="23">
        <f t="shared" si="2"/>
        <v>88.647058823529406</v>
      </c>
    </row>
    <row r="141" spans="1:8" x14ac:dyDescent="0.2">
      <c r="A141" s="1">
        <v>44962</v>
      </c>
      <c r="B141">
        <v>51</v>
      </c>
      <c r="C141">
        <v>3646</v>
      </c>
      <c r="D141">
        <v>526</v>
      </c>
      <c r="E141">
        <v>468</v>
      </c>
      <c r="F141">
        <v>0</v>
      </c>
      <c r="G141" s="22">
        <f>LineCount[[#This Row],[code]]+LineCount[[#This Row],[comments]]+LineCount[[#This Row],[blanks]]</f>
        <v>4640</v>
      </c>
      <c r="H141" s="23">
        <f t="shared" si="2"/>
        <v>90.980392156862749</v>
      </c>
    </row>
    <row r="142" spans="1:8" x14ac:dyDescent="0.2">
      <c r="A142" s="1">
        <v>44965</v>
      </c>
      <c r="B142">
        <v>51</v>
      </c>
      <c r="C142">
        <v>3656</v>
      </c>
      <c r="D142">
        <v>527</v>
      </c>
      <c r="E142">
        <v>468</v>
      </c>
      <c r="F142">
        <v>0</v>
      </c>
      <c r="G142" s="22">
        <f>LineCount[[#This Row],[code]]+LineCount[[#This Row],[comments]]+LineCount[[#This Row],[blanks]]</f>
        <v>4651</v>
      </c>
      <c r="H142" s="23">
        <f t="shared" si="2"/>
        <v>91.196078431372555</v>
      </c>
    </row>
    <row r="143" spans="1:8" x14ac:dyDescent="0.2">
      <c r="A143" s="1">
        <v>44968</v>
      </c>
      <c r="B143">
        <v>51</v>
      </c>
      <c r="C143">
        <v>3697</v>
      </c>
      <c r="D143">
        <v>529</v>
      </c>
      <c r="E143">
        <v>470</v>
      </c>
      <c r="F143">
        <v>0</v>
      </c>
      <c r="G143" s="22">
        <f>LineCount[[#This Row],[code]]+LineCount[[#This Row],[comments]]+LineCount[[#This Row],[blanks]]</f>
        <v>4696</v>
      </c>
      <c r="H143" s="23">
        <f t="shared" si="2"/>
        <v>92.078431372549019</v>
      </c>
    </row>
    <row r="144" spans="1:8" x14ac:dyDescent="0.2">
      <c r="A144" s="1">
        <v>44971</v>
      </c>
      <c r="B144">
        <v>51</v>
      </c>
      <c r="C144">
        <v>3700</v>
      </c>
      <c r="D144">
        <v>529</v>
      </c>
      <c r="E144">
        <v>470</v>
      </c>
      <c r="F144">
        <v>0</v>
      </c>
      <c r="G144" s="22">
        <f>LineCount[[#This Row],[code]]+LineCount[[#This Row],[comments]]+LineCount[[#This Row],[blanks]]</f>
        <v>4699</v>
      </c>
      <c r="H144" s="23">
        <f t="shared" si="2"/>
        <v>92.137254901960787</v>
      </c>
    </row>
    <row r="145" spans="1:8" x14ac:dyDescent="0.2">
      <c r="A145" s="1">
        <v>44972</v>
      </c>
      <c r="B145">
        <v>51</v>
      </c>
      <c r="C145">
        <v>3707</v>
      </c>
      <c r="D145">
        <v>529</v>
      </c>
      <c r="E145">
        <v>470</v>
      </c>
      <c r="F145">
        <v>0</v>
      </c>
      <c r="G145" s="22">
        <f>LineCount[[#This Row],[code]]+LineCount[[#This Row],[comments]]+LineCount[[#This Row],[blanks]]</f>
        <v>4706</v>
      </c>
      <c r="H145" s="23">
        <f t="shared" si="2"/>
        <v>92.274509803921575</v>
      </c>
    </row>
    <row r="146" spans="1:8" x14ac:dyDescent="0.2">
      <c r="A146" s="1">
        <v>44974</v>
      </c>
      <c r="B146">
        <v>52</v>
      </c>
      <c r="C146">
        <v>3707</v>
      </c>
      <c r="D146">
        <v>540</v>
      </c>
      <c r="E146">
        <v>475</v>
      </c>
      <c r="F146">
        <v>0</v>
      </c>
      <c r="G146" s="22">
        <f>LineCount[[#This Row],[code]]+LineCount[[#This Row],[comments]]+LineCount[[#This Row],[blanks]]</f>
        <v>4722</v>
      </c>
      <c r="H146" s="23">
        <f t="shared" si="2"/>
        <v>90.807692307692307</v>
      </c>
    </row>
    <row r="147" spans="1:8" x14ac:dyDescent="0.2">
      <c r="A147" s="1">
        <v>44975</v>
      </c>
      <c r="B147">
        <v>52</v>
      </c>
      <c r="C147">
        <v>3716</v>
      </c>
      <c r="D147">
        <v>544</v>
      </c>
      <c r="E147">
        <v>475</v>
      </c>
      <c r="F147">
        <v>0</v>
      </c>
      <c r="G147" s="22">
        <f>LineCount[[#This Row],[code]]+LineCount[[#This Row],[comments]]+LineCount[[#This Row],[blanks]]</f>
        <v>4735</v>
      </c>
      <c r="H147" s="23">
        <f t="shared" si="2"/>
        <v>91.057692307692307</v>
      </c>
    </row>
    <row r="148" spans="1:8" x14ac:dyDescent="0.2">
      <c r="A148" s="1">
        <v>44976</v>
      </c>
      <c r="B148">
        <v>52</v>
      </c>
      <c r="C148">
        <v>3724</v>
      </c>
      <c r="D148">
        <v>544</v>
      </c>
      <c r="E148">
        <v>476</v>
      </c>
      <c r="F148">
        <v>0</v>
      </c>
      <c r="G148" s="22">
        <f>LineCount[[#This Row],[code]]+LineCount[[#This Row],[comments]]+LineCount[[#This Row],[blanks]]</f>
        <v>4744</v>
      </c>
      <c r="H148" s="23">
        <f t="shared" si="2"/>
        <v>91.230769230769226</v>
      </c>
    </row>
    <row r="149" spans="1:8" x14ac:dyDescent="0.2">
      <c r="A149" s="1">
        <v>44977</v>
      </c>
      <c r="B149">
        <v>52</v>
      </c>
      <c r="C149">
        <v>3726</v>
      </c>
      <c r="D149">
        <v>544</v>
      </c>
      <c r="E149">
        <v>476</v>
      </c>
      <c r="F149">
        <v>0</v>
      </c>
      <c r="G149" s="22">
        <f>LineCount[[#This Row],[code]]+LineCount[[#This Row],[comments]]+LineCount[[#This Row],[blanks]]</f>
        <v>4746</v>
      </c>
      <c r="H149" s="23">
        <f t="shared" si="2"/>
        <v>91.269230769230774</v>
      </c>
    </row>
    <row r="150" spans="1:8" x14ac:dyDescent="0.2">
      <c r="A150" s="1">
        <v>44979</v>
      </c>
      <c r="B150">
        <v>52</v>
      </c>
      <c r="C150">
        <v>3726</v>
      </c>
      <c r="D150">
        <v>544</v>
      </c>
      <c r="E150">
        <v>477</v>
      </c>
      <c r="F150">
        <v>0</v>
      </c>
      <c r="G150" s="22">
        <f>LineCount[[#This Row],[code]]+LineCount[[#This Row],[comments]]+LineCount[[#This Row],[blanks]]</f>
        <v>4747</v>
      </c>
      <c r="H150" s="23">
        <f t="shared" si="2"/>
        <v>91.288461538461533</v>
      </c>
    </row>
    <row r="151" spans="1:8" x14ac:dyDescent="0.2">
      <c r="A151" s="1">
        <v>44983</v>
      </c>
      <c r="B151">
        <v>52</v>
      </c>
      <c r="C151">
        <v>3746</v>
      </c>
      <c r="D151">
        <v>549</v>
      </c>
      <c r="E151">
        <v>489</v>
      </c>
      <c r="F151">
        <v>0</v>
      </c>
      <c r="G151" s="22">
        <f>LineCount[[#This Row],[code]]+LineCount[[#This Row],[comments]]+LineCount[[#This Row],[blanks]]</f>
        <v>4784</v>
      </c>
      <c r="H151" s="23">
        <f t="shared" si="2"/>
        <v>92</v>
      </c>
    </row>
    <row r="152" spans="1:8" x14ac:dyDescent="0.2">
      <c r="A152" s="1">
        <v>44989</v>
      </c>
      <c r="B152">
        <v>52</v>
      </c>
      <c r="C152">
        <v>3750</v>
      </c>
      <c r="D152">
        <v>562</v>
      </c>
      <c r="E152">
        <v>489</v>
      </c>
      <c r="F152">
        <v>0</v>
      </c>
      <c r="G152" s="22">
        <f>LineCount[[#This Row],[code]]+LineCount[[#This Row],[comments]]+LineCount[[#This Row],[blanks]]</f>
        <v>4801</v>
      </c>
      <c r="H152" s="23">
        <f t="shared" si="2"/>
        <v>92.32692307692308</v>
      </c>
    </row>
    <row r="153" spans="1:8" x14ac:dyDescent="0.2">
      <c r="A153" s="1">
        <v>44990</v>
      </c>
      <c r="B153">
        <v>53</v>
      </c>
      <c r="C153">
        <v>3778</v>
      </c>
      <c r="D153">
        <v>564</v>
      </c>
      <c r="E153">
        <v>484</v>
      </c>
      <c r="F153">
        <v>0</v>
      </c>
      <c r="G153" s="22">
        <f>LineCount[[#This Row],[code]]+LineCount[[#This Row],[comments]]+LineCount[[#This Row],[blanks]]</f>
        <v>4826</v>
      </c>
      <c r="H153" s="23">
        <f t="shared" si="2"/>
        <v>91.056603773584911</v>
      </c>
    </row>
    <row r="154" spans="1:8" x14ac:dyDescent="0.2">
      <c r="A154" s="1">
        <v>44991</v>
      </c>
      <c r="B154">
        <v>53</v>
      </c>
      <c r="C154">
        <v>3809</v>
      </c>
      <c r="D154">
        <v>570</v>
      </c>
      <c r="E154">
        <v>483</v>
      </c>
      <c r="F154">
        <v>0</v>
      </c>
      <c r="G154" s="22">
        <f>LineCount[[#This Row],[code]]+LineCount[[#This Row],[comments]]+LineCount[[#This Row],[blanks]]</f>
        <v>4862</v>
      </c>
      <c r="H154" s="23">
        <f t="shared" si="2"/>
        <v>91.735849056603769</v>
      </c>
    </row>
    <row r="155" spans="1:8" x14ac:dyDescent="0.2">
      <c r="A155" s="1">
        <v>44992</v>
      </c>
      <c r="B155">
        <v>53</v>
      </c>
      <c r="C155">
        <v>3823</v>
      </c>
      <c r="D155">
        <v>564</v>
      </c>
      <c r="E155">
        <v>485</v>
      </c>
      <c r="F155">
        <v>0</v>
      </c>
      <c r="G155" s="22">
        <f>LineCount[[#This Row],[code]]+LineCount[[#This Row],[comments]]+LineCount[[#This Row],[blanks]]</f>
        <v>4872</v>
      </c>
      <c r="H155" s="23">
        <f t="shared" si="2"/>
        <v>91.924528301886795</v>
      </c>
    </row>
    <row r="156" spans="1:8" x14ac:dyDescent="0.2">
      <c r="A156" s="1">
        <v>44996</v>
      </c>
      <c r="B156">
        <v>53</v>
      </c>
      <c r="C156">
        <v>3853</v>
      </c>
      <c r="D156">
        <v>564</v>
      </c>
      <c r="E156">
        <v>482</v>
      </c>
      <c r="F156">
        <v>0</v>
      </c>
      <c r="G156" s="22">
        <f>LineCount[[#This Row],[code]]+LineCount[[#This Row],[comments]]+LineCount[[#This Row],[blanks]]</f>
        <v>4899</v>
      </c>
      <c r="H156" s="23">
        <f t="shared" si="2"/>
        <v>92.433962264150949</v>
      </c>
    </row>
    <row r="157" spans="1:8" x14ac:dyDescent="0.2">
      <c r="A157" s="1">
        <v>44997</v>
      </c>
      <c r="B157">
        <v>53</v>
      </c>
      <c r="C157">
        <v>3865</v>
      </c>
      <c r="D157">
        <v>564</v>
      </c>
      <c r="E157">
        <v>485</v>
      </c>
      <c r="F157">
        <v>0</v>
      </c>
      <c r="G157" s="22">
        <f>LineCount[[#This Row],[code]]+LineCount[[#This Row],[comments]]+LineCount[[#This Row],[blanks]]</f>
        <v>4914</v>
      </c>
      <c r="H157" s="23">
        <f t="shared" si="2"/>
        <v>92.716981132075475</v>
      </c>
    </row>
    <row r="158" spans="1:8" x14ac:dyDescent="0.2">
      <c r="A158" s="1">
        <v>45004</v>
      </c>
      <c r="B158">
        <v>56</v>
      </c>
      <c r="C158">
        <v>3889</v>
      </c>
      <c r="D158">
        <v>564</v>
      </c>
      <c r="E158">
        <v>487</v>
      </c>
      <c r="F158">
        <v>0</v>
      </c>
      <c r="G158" s="22">
        <f>LineCount[[#This Row],[code]]+LineCount[[#This Row],[comments]]+LineCount[[#This Row],[blanks]]</f>
        <v>4940</v>
      </c>
      <c r="H158" s="23">
        <f t="shared" si="2"/>
        <v>88.214285714285708</v>
      </c>
    </row>
    <row r="159" spans="1:8" x14ac:dyDescent="0.2">
      <c r="A159" s="1">
        <v>45006</v>
      </c>
      <c r="B159">
        <v>56</v>
      </c>
      <c r="C159">
        <v>3889</v>
      </c>
      <c r="D159">
        <v>564</v>
      </c>
      <c r="E159">
        <v>487</v>
      </c>
      <c r="F159">
        <v>0</v>
      </c>
      <c r="G159" s="22">
        <f>LineCount[[#This Row],[code]]+LineCount[[#This Row],[comments]]+LineCount[[#This Row],[blanks]]</f>
        <v>4940</v>
      </c>
      <c r="H159" s="23">
        <f t="shared" si="2"/>
        <v>88.214285714285708</v>
      </c>
    </row>
    <row r="160" spans="1:8" x14ac:dyDescent="0.2">
      <c r="A160" s="1">
        <v>45007</v>
      </c>
      <c r="B160">
        <v>57</v>
      </c>
      <c r="C160">
        <v>3895</v>
      </c>
      <c r="D160">
        <v>570</v>
      </c>
      <c r="E160">
        <v>489</v>
      </c>
      <c r="F160">
        <v>0</v>
      </c>
      <c r="G160" s="22">
        <f>LineCount[[#This Row],[code]]+LineCount[[#This Row],[comments]]+LineCount[[#This Row],[blanks]]</f>
        <v>4954</v>
      </c>
      <c r="H160" s="23">
        <f t="shared" si="2"/>
        <v>86.912280701754383</v>
      </c>
    </row>
    <row r="161" spans="1:8" x14ac:dyDescent="0.2">
      <c r="A161" s="1">
        <v>45008</v>
      </c>
      <c r="B161">
        <v>56</v>
      </c>
      <c r="C161">
        <v>3888</v>
      </c>
      <c r="D161">
        <v>560</v>
      </c>
      <c r="E161">
        <v>483</v>
      </c>
      <c r="F161">
        <v>0</v>
      </c>
      <c r="G161" s="22">
        <f>LineCount[[#This Row],[code]]+LineCount[[#This Row],[comments]]+LineCount[[#This Row],[blanks]]</f>
        <v>4931</v>
      </c>
      <c r="H161" s="23">
        <f t="shared" si="2"/>
        <v>88.053571428571431</v>
      </c>
    </row>
    <row r="162" spans="1:8" x14ac:dyDescent="0.2">
      <c r="A162" s="1">
        <v>45017</v>
      </c>
      <c r="B162">
        <v>56</v>
      </c>
      <c r="C162">
        <v>3852</v>
      </c>
      <c r="D162">
        <v>560</v>
      </c>
      <c r="E162">
        <v>486</v>
      </c>
      <c r="F162">
        <v>0</v>
      </c>
      <c r="G162" s="22">
        <f>LineCount[[#This Row],[code]]+LineCount[[#This Row],[comments]]+LineCount[[#This Row],[blanks]]</f>
        <v>4898</v>
      </c>
      <c r="H162" s="23">
        <f t="shared" si="2"/>
        <v>87.464285714285708</v>
      </c>
    </row>
    <row r="163" spans="1:8" x14ac:dyDescent="0.2">
      <c r="A163" s="1">
        <v>45116</v>
      </c>
      <c r="B163">
        <v>56</v>
      </c>
      <c r="C163">
        <v>3899</v>
      </c>
      <c r="D163">
        <v>559</v>
      </c>
      <c r="E163">
        <v>486</v>
      </c>
      <c r="F163">
        <v>0</v>
      </c>
      <c r="G163" s="22">
        <f>LineCount[[#This Row],[code]]+LineCount[[#This Row],[comments]]+LineCount[[#This Row],[blanks]]</f>
        <v>4944</v>
      </c>
      <c r="H163" s="23">
        <f t="shared" si="2"/>
        <v>88.285714285714292</v>
      </c>
    </row>
    <row r="164" spans="1:8" x14ac:dyDescent="0.2">
      <c r="A164" s="1">
        <v>45117</v>
      </c>
      <c r="B164">
        <v>56</v>
      </c>
      <c r="C164">
        <v>3890</v>
      </c>
      <c r="D164">
        <v>571</v>
      </c>
      <c r="E164">
        <v>488</v>
      </c>
      <c r="F164">
        <v>0</v>
      </c>
      <c r="G164" s="22">
        <f>LineCount[[#This Row],[code]]+LineCount[[#This Row],[comments]]+LineCount[[#This Row],[blanks]]</f>
        <v>4949</v>
      </c>
      <c r="H164" s="23">
        <f t="shared" si="2"/>
        <v>88.375</v>
      </c>
    </row>
    <row r="165" spans="1:8" x14ac:dyDescent="0.2">
      <c r="A165" s="1">
        <v>45127</v>
      </c>
      <c r="B165">
        <v>56</v>
      </c>
      <c r="C165">
        <v>3904</v>
      </c>
      <c r="D165">
        <v>568</v>
      </c>
      <c r="E165">
        <v>487</v>
      </c>
      <c r="F165">
        <v>0</v>
      </c>
      <c r="G165" s="22">
        <f>LineCount[[#This Row],[code]]+LineCount[[#This Row],[comments]]+LineCount[[#This Row],[blanks]]</f>
        <v>4959</v>
      </c>
      <c r="H165" s="23">
        <f t="shared" si="2"/>
        <v>88.553571428571431</v>
      </c>
    </row>
    <row r="166" spans="1:8" x14ac:dyDescent="0.2">
      <c r="A166" s="1">
        <v>45136</v>
      </c>
      <c r="B166">
        <v>56</v>
      </c>
      <c r="C166">
        <v>4012</v>
      </c>
      <c r="D166">
        <v>563</v>
      </c>
      <c r="E166">
        <v>453</v>
      </c>
      <c r="F166">
        <v>0</v>
      </c>
      <c r="G166" s="22">
        <f>LineCount[[#This Row],[code]]+LineCount[[#This Row],[comments]]+LineCount[[#This Row],[blanks]]</f>
        <v>5028</v>
      </c>
      <c r="H166" s="23">
        <f t="shared" si="2"/>
        <v>89.785714285714292</v>
      </c>
    </row>
    <row r="167" spans="1:8" x14ac:dyDescent="0.2">
      <c r="A167" s="1">
        <v>45137</v>
      </c>
      <c r="B167">
        <v>58</v>
      </c>
      <c r="C167">
        <v>4027</v>
      </c>
      <c r="D167">
        <v>572</v>
      </c>
      <c r="E167">
        <v>472</v>
      </c>
      <c r="F167">
        <v>0</v>
      </c>
      <c r="G167" s="22">
        <f>LineCount[[#This Row],[code]]+LineCount[[#This Row],[comments]]+LineCount[[#This Row],[blanks]]</f>
        <v>5071</v>
      </c>
      <c r="H167" s="23">
        <f t="shared" si="2"/>
        <v>87.431034482758619</v>
      </c>
    </row>
    <row r="168" spans="1:8" x14ac:dyDescent="0.2">
      <c r="A168" s="1">
        <v>45138</v>
      </c>
      <c r="B168">
        <v>58</v>
      </c>
      <c r="C168">
        <v>4054</v>
      </c>
      <c r="D168">
        <v>572</v>
      </c>
      <c r="E168">
        <v>472</v>
      </c>
      <c r="F168">
        <v>0</v>
      </c>
      <c r="G168" s="22">
        <f>LineCount[[#This Row],[code]]+LineCount[[#This Row],[comments]]+LineCount[[#This Row],[blanks]]</f>
        <v>5098</v>
      </c>
      <c r="H168" s="23">
        <f t="shared" si="2"/>
        <v>87.896551724137936</v>
      </c>
    </row>
    <row r="169" spans="1:8" x14ac:dyDescent="0.2">
      <c r="A169" s="1">
        <v>45139</v>
      </c>
      <c r="B169">
        <v>58</v>
      </c>
      <c r="C169">
        <v>4049</v>
      </c>
      <c r="D169">
        <v>571</v>
      </c>
      <c r="E169">
        <v>472</v>
      </c>
      <c r="F169">
        <v>0</v>
      </c>
      <c r="G169" s="22">
        <f>LineCount[[#This Row],[code]]+LineCount[[#This Row],[comments]]+LineCount[[#This Row],[blanks]]</f>
        <v>5092</v>
      </c>
      <c r="H169" s="23">
        <f t="shared" si="2"/>
        <v>87.793103448275858</v>
      </c>
    </row>
    <row r="170" spans="1:8" x14ac:dyDescent="0.2">
      <c r="A170" s="1">
        <v>45142</v>
      </c>
      <c r="B170">
        <v>58</v>
      </c>
      <c r="C170">
        <v>4073</v>
      </c>
      <c r="D170">
        <v>564</v>
      </c>
      <c r="E170">
        <v>475</v>
      </c>
      <c r="F170">
        <v>0</v>
      </c>
      <c r="G170" s="22">
        <f>LineCount[[#This Row],[code]]+LineCount[[#This Row],[comments]]+LineCount[[#This Row],[blanks]]</f>
        <v>5112</v>
      </c>
      <c r="H170" s="23">
        <f t="shared" si="2"/>
        <v>88.137931034482762</v>
      </c>
    </row>
    <row r="171" spans="1:8" x14ac:dyDescent="0.2">
      <c r="A171" s="1">
        <v>45145</v>
      </c>
      <c r="B171">
        <v>58</v>
      </c>
      <c r="C171">
        <v>4063</v>
      </c>
      <c r="D171">
        <v>564</v>
      </c>
      <c r="E171">
        <v>474</v>
      </c>
      <c r="F171">
        <v>0</v>
      </c>
      <c r="G171" s="22">
        <f>LineCount[[#This Row],[code]]+LineCount[[#This Row],[comments]]+LineCount[[#This Row],[blanks]]</f>
        <v>5101</v>
      </c>
      <c r="H171" s="23">
        <f t="shared" si="2"/>
        <v>87.948275862068968</v>
      </c>
    </row>
    <row r="172" spans="1:8" x14ac:dyDescent="0.2">
      <c r="A172" s="1">
        <v>45146</v>
      </c>
      <c r="B172">
        <v>58</v>
      </c>
      <c r="C172">
        <v>4068</v>
      </c>
      <c r="D172">
        <v>564</v>
      </c>
      <c r="E172">
        <v>474</v>
      </c>
      <c r="F172">
        <v>0</v>
      </c>
      <c r="G172" s="22">
        <f>LineCount[[#This Row],[code]]+LineCount[[#This Row],[comments]]+LineCount[[#This Row],[blanks]]</f>
        <v>5106</v>
      </c>
      <c r="H172" s="23">
        <f t="shared" si="2"/>
        <v>88.034482758620683</v>
      </c>
    </row>
    <row r="173" spans="1:8" x14ac:dyDescent="0.2">
      <c r="A173" s="1">
        <v>45147</v>
      </c>
      <c r="B173">
        <v>58</v>
      </c>
      <c r="C173">
        <v>4062</v>
      </c>
      <c r="D173">
        <v>564</v>
      </c>
      <c r="E173">
        <v>472</v>
      </c>
      <c r="F173">
        <v>0</v>
      </c>
      <c r="G173" s="22">
        <f>LineCount[[#This Row],[code]]+LineCount[[#This Row],[comments]]+LineCount[[#This Row],[blanks]]</f>
        <v>5098</v>
      </c>
      <c r="H173" s="23">
        <f t="shared" si="2"/>
        <v>87.896551724137936</v>
      </c>
    </row>
    <row r="174" spans="1:8" x14ac:dyDescent="0.2">
      <c r="A174" s="1">
        <v>45149</v>
      </c>
      <c r="B174">
        <v>58</v>
      </c>
      <c r="C174">
        <v>4055</v>
      </c>
      <c r="D174">
        <v>564</v>
      </c>
      <c r="E174">
        <v>472</v>
      </c>
      <c r="F174">
        <v>0</v>
      </c>
      <c r="G174" s="22">
        <f>LineCount[[#This Row],[code]]+LineCount[[#This Row],[comments]]+LineCount[[#This Row],[blanks]]</f>
        <v>5091</v>
      </c>
      <c r="H174" s="23">
        <f t="shared" si="2"/>
        <v>87.775862068965523</v>
      </c>
    </row>
    <row r="175" spans="1:8" x14ac:dyDescent="0.2">
      <c r="A175" s="1">
        <v>45150</v>
      </c>
      <c r="B175">
        <v>58</v>
      </c>
      <c r="C175">
        <v>4060</v>
      </c>
      <c r="D175">
        <v>564</v>
      </c>
      <c r="E175">
        <v>473</v>
      </c>
      <c r="F175">
        <v>0</v>
      </c>
      <c r="G175" s="22">
        <f>LineCount[[#This Row],[code]]+LineCount[[#This Row],[comments]]+LineCount[[#This Row],[blanks]]</f>
        <v>5097</v>
      </c>
      <c r="H175" s="23">
        <f t="shared" si="2"/>
        <v>87.879310344827587</v>
      </c>
    </row>
    <row r="176" spans="1:8" x14ac:dyDescent="0.2">
      <c r="A176" s="1">
        <v>45154</v>
      </c>
      <c r="B176">
        <v>58</v>
      </c>
      <c r="C176">
        <v>4088</v>
      </c>
      <c r="D176">
        <v>585</v>
      </c>
      <c r="E176">
        <v>481</v>
      </c>
      <c r="F176">
        <v>0</v>
      </c>
      <c r="G176" s="22">
        <f>LineCount[[#This Row],[code]]+LineCount[[#This Row],[comments]]+LineCount[[#This Row],[blanks]]</f>
        <v>5154</v>
      </c>
      <c r="H176" s="23">
        <f t="shared" si="2"/>
        <v>88.862068965517238</v>
      </c>
    </row>
    <row r="177" spans="1:8" x14ac:dyDescent="0.2">
      <c r="A177" s="1">
        <v>45179</v>
      </c>
      <c r="B177">
        <v>58</v>
      </c>
      <c r="C177">
        <v>4084</v>
      </c>
      <c r="D177">
        <v>585</v>
      </c>
      <c r="E177">
        <v>481</v>
      </c>
      <c r="F177">
        <v>0</v>
      </c>
      <c r="G177" s="22">
        <f>LineCount[[#This Row],[code]]+LineCount[[#This Row],[comments]]+LineCount[[#This Row],[blanks]]</f>
        <v>5150</v>
      </c>
      <c r="H177" s="23">
        <f t="shared" si="2"/>
        <v>88.793103448275858</v>
      </c>
    </row>
    <row r="178" spans="1:8" x14ac:dyDescent="0.2">
      <c r="A178" s="1">
        <v>45180</v>
      </c>
      <c r="B178">
        <v>58</v>
      </c>
      <c r="C178">
        <v>4105</v>
      </c>
      <c r="D178">
        <v>587</v>
      </c>
      <c r="E178">
        <v>484</v>
      </c>
      <c r="F178">
        <v>0</v>
      </c>
      <c r="G178" s="22">
        <f>LineCount[[#This Row],[code]]+LineCount[[#This Row],[comments]]+LineCount[[#This Row],[blanks]]</f>
        <v>5176</v>
      </c>
      <c r="H178" s="23">
        <f t="shared" si="2"/>
        <v>89.241379310344826</v>
      </c>
    </row>
    <row r="179" spans="1:8" x14ac:dyDescent="0.2">
      <c r="A179" s="1">
        <v>45181</v>
      </c>
      <c r="B179">
        <v>58</v>
      </c>
      <c r="C179">
        <v>4107</v>
      </c>
      <c r="D179">
        <v>587</v>
      </c>
      <c r="E179">
        <v>484</v>
      </c>
      <c r="F179">
        <v>0</v>
      </c>
      <c r="G179" s="22">
        <f>LineCount[[#This Row],[code]]+LineCount[[#This Row],[comments]]+LineCount[[#This Row],[blanks]]</f>
        <v>5178</v>
      </c>
      <c r="H179" s="23">
        <f t="shared" si="2"/>
        <v>89.275862068965523</v>
      </c>
    </row>
    <row r="180" spans="1:8" x14ac:dyDescent="0.2">
      <c r="A180" s="1">
        <v>45184</v>
      </c>
      <c r="B180">
        <v>58</v>
      </c>
      <c r="C180">
        <v>4107</v>
      </c>
      <c r="D180">
        <v>589</v>
      </c>
      <c r="E180">
        <v>484</v>
      </c>
      <c r="F180">
        <v>0</v>
      </c>
      <c r="G180" s="22">
        <f>LineCount[[#This Row],[code]]+LineCount[[#This Row],[comments]]+LineCount[[#This Row],[blanks]]</f>
        <v>5180</v>
      </c>
      <c r="H180" s="23">
        <f t="shared" si="2"/>
        <v>89.310344827586206</v>
      </c>
    </row>
    <row r="181" spans="1:8" x14ac:dyDescent="0.2">
      <c r="A181" s="1">
        <v>45186</v>
      </c>
      <c r="B181">
        <v>58</v>
      </c>
      <c r="C181">
        <v>4126</v>
      </c>
      <c r="D181">
        <v>594</v>
      </c>
      <c r="E181">
        <v>485</v>
      </c>
      <c r="F181">
        <v>0</v>
      </c>
      <c r="G181" s="22">
        <f>LineCount[[#This Row],[code]]+LineCount[[#This Row],[comments]]+LineCount[[#This Row],[blanks]]</f>
        <v>5205</v>
      </c>
      <c r="H181" s="23">
        <f t="shared" si="2"/>
        <v>89.741379310344826</v>
      </c>
    </row>
    <row r="182" spans="1:8" x14ac:dyDescent="0.2">
      <c r="A182" s="1">
        <v>45193</v>
      </c>
      <c r="B182">
        <v>59</v>
      </c>
      <c r="C182">
        <v>4158</v>
      </c>
      <c r="D182">
        <v>598</v>
      </c>
      <c r="E182">
        <v>485</v>
      </c>
      <c r="F182">
        <v>0</v>
      </c>
      <c r="G182" s="22">
        <f>LineCount[[#This Row],[code]]+LineCount[[#This Row],[comments]]+LineCount[[#This Row],[blanks]]</f>
        <v>5241</v>
      </c>
      <c r="H182" s="23">
        <f t="shared" si="2"/>
        <v>88.830508474576277</v>
      </c>
    </row>
    <row r="183" spans="1:8" x14ac:dyDescent="0.2">
      <c r="A183" s="1">
        <v>45198</v>
      </c>
      <c r="B183">
        <v>62</v>
      </c>
      <c r="C183">
        <v>4278</v>
      </c>
      <c r="D183">
        <v>624</v>
      </c>
      <c r="E183">
        <v>502</v>
      </c>
      <c r="F183">
        <v>0</v>
      </c>
      <c r="G183" s="22">
        <f>LineCount[[#This Row],[code]]+LineCount[[#This Row],[comments]]+LineCount[[#This Row],[blanks]]</f>
        <v>5404</v>
      </c>
      <c r="H183" s="23">
        <f t="shared" si="2"/>
        <v>87.161290322580641</v>
      </c>
    </row>
    <row r="184" spans="1:8" x14ac:dyDescent="0.2">
      <c r="A184" s="1">
        <v>45211</v>
      </c>
      <c r="B184">
        <v>62</v>
      </c>
      <c r="C184">
        <v>4300</v>
      </c>
      <c r="D184">
        <v>629</v>
      </c>
      <c r="E184">
        <v>504</v>
      </c>
      <c r="F184">
        <v>0</v>
      </c>
      <c r="G184" s="22">
        <f>LineCount[[#This Row],[code]]+LineCount[[#This Row],[comments]]+LineCount[[#This Row],[blanks]]</f>
        <v>5433</v>
      </c>
      <c r="H184" s="23">
        <f t="shared" si="2"/>
        <v>87.629032258064512</v>
      </c>
    </row>
    <row r="185" spans="1:8" x14ac:dyDescent="0.2">
      <c r="A185" s="1">
        <v>45215</v>
      </c>
      <c r="B185">
        <v>62</v>
      </c>
      <c r="C185">
        <v>4321</v>
      </c>
      <c r="D185">
        <v>625</v>
      </c>
      <c r="E185">
        <v>505</v>
      </c>
      <c r="F185">
        <v>0</v>
      </c>
      <c r="G185" s="22">
        <f>LineCount[[#This Row],[code]]+LineCount[[#This Row],[comments]]+LineCount[[#This Row],[blanks]]</f>
        <v>5451</v>
      </c>
      <c r="H185" s="23">
        <f t="shared" si="2"/>
        <v>87.91935483870968</v>
      </c>
    </row>
    <row r="186" spans="1:8" x14ac:dyDescent="0.2">
      <c r="A186" s="1">
        <v>45218</v>
      </c>
      <c r="B186">
        <v>62</v>
      </c>
      <c r="C186">
        <v>4353</v>
      </c>
      <c r="D186">
        <v>625</v>
      </c>
      <c r="E186">
        <v>505</v>
      </c>
      <c r="F186">
        <v>0</v>
      </c>
      <c r="G186" s="22">
        <f>LineCount[[#This Row],[code]]+LineCount[[#This Row],[comments]]+LineCount[[#This Row],[blanks]]</f>
        <v>5483</v>
      </c>
      <c r="H186" s="23">
        <f t="shared" si="2"/>
        <v>88.435483870967744</v>
      </c>
    </row>
    <row r="187" spans="1:8" x14ac:dyDescent="0.2">
      <c r="A187" s="1">
        <v>45219</v>
      </c>
      <c r="B187">
        <v>65</v>
      </c>
      <c r="C187">
        <v>4322</v>
      </c>
      <c r="D187">
        <v>665</v>
      </c>
      <c r="E187">
        <v>524</v>
      </c>
      <c r="F187">
        <v>0</v>
      </c>
      <c r="G187" s="22">
        <f>LineCount[[#This Row],[code]]+LineCount[[#This Row],[comments]]+LineCount[[#This Row],[blanks]]</f>
        <v>5511</v>
      </c>
      <c r="H187" s="23">
        <f t="shared" si="2"/>
        <v>84.784615384615378</v>
      </c>
    </row>
    <row r="188" spans="1:8" x14ac:dyDescent="0.2">
      <c r="A188" s="1">
        <v>45222</v>
      </c>
      <c r="B188">
        <v>66</v>
      </c>
      <c r="C188">
        <v>4343</v>
      </c>
      <c r="D188">
        <v>672</v>
      </c>
      <c r="E188">
        <v>529</v>
      </c>
      <c r="F188">
        <v>0</v>
      </c>
      <c r="G188" s="22">
        <f>LineCount[[#This Row],[code]]+LineCount[[#This Row],[comments]]+LineCount[[#This Row],[blanks]]</f>
        <v>5544</v>
      </c>
      <c r="H188" s="23">
        <f t="shared" si="2"/>
        <v>84</v>
      </c>
    </row>
    <row r="189" spans="1:8" x14ac:dyDescent="0.2">
      <c r="A189" s="1">
        <v>45231</v>
      </c>
      <c r="B189">
        <v>68</v>
      </c>
      <c r="C189">
        <v>4481</v>
      </c>
      <c r="D189">
        <v>686</v>
      </c>
      <c r="E189">
        <v>538</v>
      </c>
      <c r="F189">
        <v>0</v>
      </c>
      <c r="G189" s="22">
        <f>LineCount[[#This Row],[code]]+LineCount[[#This Row],[comments]]+LineCount[[#This Row],[blanks]]</f>
        <v>5705</v>
      </c>
      <c r="H189" s="23">
        <f t="shared" si="2"/>
        <v>83.897058823529406</v>
      </c>
    </row>
    <row r="190" spans="1:8" x14ac:dyDescent="0.2">
      <c r="A190" s="1">
        <v>45233</v>
      </c>
      <c r="B190">
        <v>68</v>
      </c>
      <c r="C190">
        <v>4464</v>
      </c>
      <c r="D190">
        <v>695</v>
      </c>
      <c r="E190">
        <v>550</v>
      </c>
      <c r="F190">
        <v>0</v>
      </c>
      <c r="G190" s="22">
        <f>LineCount[[#This Row],[code]]+LineCount[[#This Row],[comments]]+LineCount[[#This Row],[blanks]]</f>
        <v>5709</v>
      </c>
      <c r="H190" s="23">
        <f t="shared" si="2"/>
        <v>83.955882352941174</v>
      </c>
    </row>
    <row r="191" spans="1:8" x14ac:dyDescent="0.2">
      <c r="A191" s="1">
        <v>45240</v>
      </c>
      <c r="B191">
        <v>68</v>
      </c>
      <c r="C191">
        <v>4470</v>
      </c>
      <c r="D191">
        <v>700</v>
      </c>
      <c r="E191">
        <v>554</v>
      </c>
      <c r="F191">
        <v>0</v>
      </c>
      <c r="G191" s="22">
        <f>LineCount[[#This Row],[code]]+LineCount[[#This Row],[comments]]+LineCount[[#This Row],[blanks]]</f>
        <v>5724</v>
      </c>
      <c r="H191" s="23">
        <f t="shared" si="2"/>
        <v>84.17647058823529</v>
      </c>
    </row>
    <row r="192" spans="1:8" x14ac:dyDescent="0.2">
      <c r="A192" s="1">
        <v>45246</v>
      </c>
      <c r="B192">
        <v>68</v>
      </c>
      <c r="C192">
        <v>4491</v>
      </c>
      <c r="D192">
        <v>695</v>
      </c>
      <c r="E192">
        <v>558</v>
      </c>
      <c r="F192">
        <v>0</v>
      </c>
      <c r="G192" s="22">
        <f>LineCount[[#This Row],[code]]+LineCount[[#This Row],[comments]]+LineCount[[#This Row],[blanks]]</f>
        <v>5744</v>
      </c>
      <c r="H192" s="23">
        <f t="shared" si="2"/>
        <v>84.470588235294116</v>
      </c>
    </row>
    <row r="193" spans="1:8" x14ac:dyDescent="0.2">
      <c r="A193" s="1">
        <v>45249</v>
      </c>
      <c r="B193">
        <v>69</v>
      </c>
      <c r="C193">
        <v>4600</v>
      </c>
      <c r="D193">
        <v>704</v>
      </c>
      <c r="E193">
        <v>553</v>
      </c>
      <c r="F193">
        <v>0</v>
      </c>
      <c r="G193" s="22">
        <f>LineCount[[#This Row],[code]]+LineCount[[#This Row],[comments]]+LineCount[[#This Row],[blanks]]</f>
        <v>5857</v>
      </c>
      <c r="H193" s="23">
        <f t="shared" si="2"/>
        <v>84.884057971014499</v>
      </c>
    </row>
    <row r="194" spans="1:8" x14ac:dyDescent="0.2">
      <c r="A194" s="1">
        <v>45252</v>
      </c>
      <c r="B194">
        <v>69</v>
      </c>
      <c r="C194">
        <v>4608</v>
      </c>
      <c r="D194">
        <v>701</v>
      </c>
      <c r="E194">
        <v>552</v>
      </c>
      <c r="F194">
        <v>0</v>
      </c>
      <c r="G194" s="22">
        <f>LineCount[[#This Row],[code]]+LineCount[[#This Row],[comments]]+LineCount[[#This Row],[blanks]]</f>
        <v>5861</v>
      </c>
      <c r="H194" s="23">
        <f t="shared" ref="H194:H257" si="3">G194/B194</f>
        <v>84.94202898550725</v>
      </c>
    </row>
    <row r="195" spans="1:8" x14ac:dyDescent="0.2">
      <c r="A195" s="1">
        <v>45275</v>
      </c>
      <c r="B195">
        <v>67</v>
      </c>
      <c r="C195">
        <v>4586</v>
      </c>
      <c r="D195">
        <v>672</v>
      </c>
      <c r="E195">
        <v>537</v>
      </c>
      <c r="F195">
        <v>0</v>
      </c>
      <c r="G195" s="22">
        <f>LineCount[[#This Row],[code]]+LineCount[[#This Row],[comments]]+LineCount[[#This Row],[blanks]]</f>
        <v>5795</v>
      </c>
      <c r="H195" s="23">
        <f t="shared" si="3"/>
        <v>86.492537313432834</v>
      </c>
    </row>
    <row r="196" spans="1:8" x14ac:dyDescent="0.2">
      <c r="A196" s="1">
        <v>45276</v>
      </c>
      <c r="B196">
        <v>68</v>
      </c>
      <c r="C196">
        <v>4665</v>
      </c>
      <c r="D196">
        <v>680</v>
      </c>
      <c r="E196">
        <v>546</v>
      </c>
      <c r="F196">
        <v>0</v>
      </c>
      <c r="G196" s="22">
        <f>LineCount[[#This Row],[code]]+LineCount[[#This Row],[comments]]+LineCount[[#This Row],[blanks]]</f>
        <v>5891</v>
      </c>
      <c r="H196" s="23">
        <f t="shared" si="3"/>
        <v>86.632352941176464</v>
      </c>
    </row>
    <row r="197" spans="1:8" x14ac:dyDescent="0.2">
      <c r="A197" s="1">
        <v>45277</v>
      </c>
      <c r="B197">
        <v>68</v>
      </c>
      <c r="C197">
        <v>4678</v>
      </c>
      <c r="D197">
        <v>680</v>
      </c>
      <c r="E197">
        <v>549</v>
      </c>
      <c r="F197">
        <v>0</v>
      </c>
      <c r="G197" s="22">
        <f>LineCount[[#This Row],[code]]+LineCount[[#This Row],[comments]]+LineCount[[#This Row],[blanks]]</f>
        <v>5907</v>
      </c>
      <c r="H197" s="23">
        <f t="shared" si="3"/>
        <v>86.867647058823536</v>
      </c>
    </row>
    <row r="198" spans="1:8" x14ac:dyDescent="0.2">
      <c r="A198" s="1">
        <v>45285</v>
      </c>
      <c r="B198">
        <v>68</v>
      </c>
      <c r="C198">
        <v>4785</v>
      </c>
      <c r="D198">
        <v>688</v>
      </c>
      <c r="E198">
        <v>551</v>
      </c>
      <c r="F198">
        <v>0</v>
      </c>
      <c r="G198" s="22">
        <f>LineCount[[#This Row],[code]]+LineCount[[#This Row],[comments]]+LineCount[[#This Row],[blanks]]</f>
        <v>6024</v>
      </c>
      <c r="H198" s="23">
        <f t="shared" si="3"/>
        <v>88.588235294117652</v>
      </c>
    </row>
    <row r="199" spans="1:8" x14ac:dyDescent="0.2">
      <c r="A199" s="1">
        <v>45286</v>
      </c>
      <c r="B199">
        <v>68</v>
      </c>
      <c r="C199">
        <v>4809</v>
      </c>
      <c r="D199">
        <v>693</v>
      </c>
      <c r="E199">
        <v>555</v>
      </c>
      <c r="F199">
        <v>0</v>
      </c>
      <c r="G199" s="22">
        <f>LineCount[[#This Row],[code]]+LineCount[[#This Row],[comments]]+LineCount[[#This Row],[blanks]]</f>
        <v>6057</v>
      </c>
      <c r="H199" s="23">
        <f t="shared" si="3"/>
        <v>89.07352941176471</v>
      </c>
    </row>
    <row r="200" spans="1:8" x14ac:dyDescent="0.2">
      <c r="A200" s="1">
        <v>45288</v>
      </c>
      <c r="B200">
        <v>70</v>
      </c>
      <c r="C200">
        <v>4937</v>
      </c>
      <c r="D200">
        <v>729</v>
      </c>
      <c r="E200">
        <v>582</v>
      </c>
      <c r="F200">
        <v>0</v>
      </c>
      <c r="G200" s="22">
        <f>LineCount[[#This Row],[code]]+LineCount[[#This Row],[comments]]+LineCount[[#This Row],[blanks]]</f>
        <v>6248</v>
      </c>
      <c r="H200" s="23">
        <f t="shared" si="3"/>
        <v>89.257142857142853</v>
      </c>
    </row>
    <row r="201" spans="1:8" x14ac:dyDescent="0.2">
      <c r="A201" s="1">
        <v>45290</v>
      </c>
      <c r="B201">
        <v>69</v>
      </c>
      <c r="C201">
        <v>4949</v>
      </c>
      <c r="D201">
        <v>701</v>
      </c>
      <c r="E201">
        <v>568</v>
      </c>
      <c r="F201">
        <v>0</v>
      </c>
      <c r="G201" s="22">
        <f>LineCount[[#This Row],[code]]+LineCount[[#This Row],[comments]]+LineCount[[#This Row],[blanks]]</f>
        <v>6218</v>
      </c>
      <c r="H201" s="23">
        <f t="shared" si="3"/>
        <v>90.115942028985501</v>
      </c>
    </row>
    <row r="202" spans="1:8" x14ac:dyDescent="0.2">
      <c r="A202" s="1">
        <v>45291</v>
      </c>
      <c r="B202">
        <v>63</v>
      </c>
      <c r="C202">
        <v>4661</v>
      </c>
      <c r="D202">
        <v>647</v>
      </c>
      <c r="E202">
        <v>537</v>
      </c>
      <c r="F202">
        <v>0</v>
      </c>
      <c r="G202" s="22">
        <f>LineCount[[#This Row],[code]]+LineCount[[#This Row],[comments]]+LineCount[[#This Row],[blanks]]</f>
        <v>5845</v>
      </c>
      <c r="H202" s="23">
        <f t="shared" si="3"/>
        <v>92.777777777777771</v>
      </c>
    </row>
    <row r="203" spans="1:8" x14ac:dyDescent="0.2">
      <c r="A203" s="1">
        <v>45292</v>
      </c>
      <c r="B203">
        <v>63</v>
      </c>
      <c r="C203">
        <v>4637</v>
      </c>
      <c r="D203">
        <v>653</v>
      </c>
      <c r="E203">
        <v>536</v>
      </c>
      <c r="F203">
        <v>0</v>
      </c>
      <c r="G203" s="22">
        <f>LineCount[[#This Row],[code]]+LineCount[[#This Row],[comments]]+LineCount[[#This Row],[blanks]]</f>
        <v>5826</v>
      </c>
      <c r="H203" s="23">
        <f t="shared" si="3"/>
        <v>92.476190476190482</v>
      </c>
    </row>
    <row r="204" spans="1:8" x14ac:dyDescent="0.2">
      <c r="A204" s="1">
        <v>45297</v>
      </c>
      <c r="B204">
        <v>63</v>
      </c>
      <c r="C204">
        <v>4697</v>
      </c>
      <c r="D204">
        <v>640</v>
      </c>
      <c r="E204">
        <v>543</v>
      </c>
      <c r="F204">
        <v>0</v>
      </c>
      <c r="G204" s="22">
        <f>LineCount[[#This Row],[code]]+LineCount[[#This Row],[comments]]+LineCount[[#This Row],[blanks]]</f>
        <v>5880</v>
      </c>
      <c r="H204" s="23">
        <f t="shared" si="3"/>
        <v>93.333333333333329</v>
      </c>
    </row>
    <row r="205" spans="1:8" x14ac:dyDescent="0.2">
      <c r="A205" s="1">
        <v>45298</v>
      </c>
      <c r="B205">
        <v>63</v>
      </c>
      <c r="C205">
        <v>4706</v>
      </c>
      <c r="D205">
        <v>647</v>
      </c>
      <c r="E205">
        <v>546</v>
      </c>
      <c r="F205">
        <v>0</v>
      </c>
      <c r="G205" s="22">
        <f>LineCount[[#This Row],[code]]+LineCount[[#This Row],[comments]]+LineCount[[#This Row],[blanks]]</f>
        <v>5899</v>
      </c>
      <c r="H205" s="23">
        <f t="shared" si="3"/>
        <v>93.634920634920633</v>
      </c>
    </row>
    <row r="206" spans="1:8" x14ac:dyDescent="0.2">
      <c r="A206" s="1">
        <v>45305</v>
      </c>
      <c r="B206">
        <v>63</v>
      </c>
      <c r="C206">
        <v>4722</v>
      </c>
      <c r="D206">
        <v>646</v>
      </c>
      <c r="E206">
        <v>544</v>
      </c>
      <c r="F206">
        <v>0</v>
      </c>
      <c r="G206" s="22">
        <f>LineCount[[#This Row],[code]]+LineCount[[#This Row],[comments]]+LineCount[[#This Row],[blanks]]</f>
        <v>5912</v>
      </c>
      <c r="H206" s="23">
        <f t="shared" si="3"/>
        <v>93.841269841269835</v>
      </c>
    </row>
    <row r="207" spans="1:8" x14ac:dyDescent="0.2">
      <c r="A207" s="1">
        <v>45309</v>
      </c>
      <c r="B207">
        <v>63</v>
      </c>
      <c r="C207">
        <v>4702</v>
      </c>
      <c r="D207">
        <v>655</v>
      </c>
      <c r="E207">
        <v>544</v>
      </c>
      <c r="F207">
        <v>0</v>
      </c>
      <c r="G207" s="22">
        <f>LineCount[[#This Row],[code]]+LineCount[[#This Row],[comments]]+LineCount[[#This Row],[blanks]]</f>
        <v>5901</v>
      </c>
      <c r="H207" s="23">
        <f t="shared" si="3"/>
        <v>93.666666666666671</v>
      </c>
    </row>
    <row r="208" spans="1:8" x14ac:dyDescent="0.2">
      <c r="A208" s="1">
        <v>45310</v>
      </c>
      <c r="B208">
        <v>63</v>
      </c>
      <c r="C208">
        <v>4724</v>
      </c>
      <c r="D208">
        <v>643</v>
      </c>
      <c r="E208">
        <v>545</v>
      </c>
      <c r="F208">
        <v>0</v>
      </c>
      <c r="G208" s="22">
        <f>LineCount[[#This Row],[code]]+LineCount[[#This Row],[comments]]+LineCount[[#This Row],[blanks]]</f>
        <v>5912</v>
      </c>
      <c r="H208" s="23">
        <f t="shared" si="3"/>
        <v>93.841269841269835</v>
      </c>
    </row>
    <row r="209" spans="1:8" x14ac:dyDescent="0.2">
      <c r="A209" s="1">
        <v>45312</v>
      </c>
      <c r="B209">
        <v>63</v>
      </c>
      <c r="C209">
        <v>4738</v>
      </c>
      <c r="D209">
        <v>640</v>
      </c>
      <c r="E209">
        <v>544</v>
      </c>
      <c r="F209">
        <v>0</v>
      </c>
      <c r="G209" s="22">
        <f>LineCount[[#This Row],[code]]+LineCount[[#This Row],[comments]]+LineCount[[#This Row],[blanks]]</f>
        <v>5922</v>
      </c>
      <c r="H209" s="23">
        <f t="shared" si="3"/>
        <v>94</v>
      </c>
    </row>
    <row r="210" spans="1:8" x14ac:dyDescent="0.2">
      <c r="A210" s="1">
        <v>45317</v>
      </c>
      <c r="B210">
        <v>64</v>
      </c>
      <c r="C210">
        <v>6028</v>
      </c>
      <c r="D210">
        <v>740</v>
      </c>
      <c r="E210">
        <v>565</v>
      </c>
      <c r="F210">
        <v>0</v>
      </c>
      <c r="G210" s="22">
        <f>LineCount[[#This Row],[code]]+LineCount[[#This Row],[comments]]+LineCount[[#This Row],[blanks]]</f>
        <v>7333</v>
      </c>
      <c r="H210" s="23">
        <f t="shared" si="3"/>
        <v>114.578125</v>
      </c>
    </row>
    <row r="211" spans="1:8" x14ac:dyDescent="0.2">
      <c r="A211" s="1">
        <v>45327</v>
      </c>
      <c r="B211">
        <v>64</v>
      </c>
      <c r="C211">
        <v>6008</v>
      </c>
      <c r="D211">
        <v>742</v>
      </c>
      <c r="E211">
        <v>564</v>
      </c>
      <c r="F211">
        <v>0</v>
      </c>
      <c r="G211" s="22">
        <f>LineCount[[#This Row],[code]]+LineCount[[#This Row],[comments]]+LineCount[[#This Row],[blanks]]</f>
        <v>7314</v>
      </c>
      <c r="H211" s="23">
        <f t="shared" si="3"/>
        <v>114.28125</v>
      </c>
    </row>
    <row r="212" spans="1:8" x14ac:dyDescent="0.2">
      <c r="A212" s="1">
        <v>45329</v>
      </c>
      <c r="B212">
        <v>64</v>
      </c>
      <c r="C212">
        <v>6007</v>
      </c>
      <c r="D212">
        <v>742</v>
      </c>
      <c r="E212">
        <v>565</v>
      </c>
      <c r="F212">
        <v>0</v>
      </c>
      <c r="G212" s="22">
        <f>LineCount[[#This Row],[code]]+LineCount[[#This Row],[comments]]+LineCount[[#This Row],[blanks]]</f>
        <v>7314</v>
      </c>
      <c r="H212" s="23">
        <f t="shared" si="3"/>
        <v>114.28125</v>
      </c>
    </row>
    <row r="213" spans="1:8" x14ac:dyDescent="0.2">
      <c r="A213" s="1">
        <v>45337</v>
      </c>
      <c r="B213">
        <v>64</v>
      </c>
      <c r="C213">
        <v>6021</v>
      </c>
      <c r="D213">
        <v>742</v>
      </c>
      <c r="E213">
        <v>565</v>
      </c>
      <c r="F213">
        <v>0</v>
      </c>
      <c r="G213" s="22">
        <f>LineCount[[#This Row],[code]]+LineCount[[#This Row],[comments]]+LineCount[[#This Row],[blanks]]</f>
        <v>7328</v>
      </c>
      <c r="H213" s="23">
        <f t="shared" si="3"/>
        <v>114.5</v>
      </c>
    </row>
    <row r="214" spans="1:8" x14ac:dyDescent="0.2">
      <c r="A214" s="1">
        <v>45343</v>
      </c>
      <c r="B214">
        <v>64</v>
      </c>
      <c r="C214">
        <v>6026</v>
      </c>
      <c r="D214">
        <v>741</v>
      </c>
      <c r="E214">
        <v>566</v>
      </c>
      <c r="F214">
        <v>0</v>
      </c>
      <c r="G214" s="22">
        <f>LineCount[[#This Row],[code]]+LineCount[[#This Row],[comments]]+LineCount[[#This Row],[blanks]]</f>
        <v>7333</v>
      </c>
      <c r="H214" s="23">
        <f t="shared" si="3"/>
        <v>114.578125</v>
      </c>
    </row>
    <row r="215" spans="1:8" x14ac:dyDescent="0.2">
      <c r="A215" s="1">
        <v>45351</v>
      </c>
      <c r="B215">
        <v>64</v>
      </c>
      <c r="C215">
        <v>6052</v>
      </c>
      <c r="D215">
        <v>741</v>
      </c>
      <c r="E215">
        <v>565</v>
      </c>
      <c r="F215">
        <v>0</v>
      </c>
      <c r="G215" s="22">
        <f>LineCount[[#This Row],[code]]+LineCount[[#This Row],[comments]]+LineCount[[#This Row],[blanks]]</f>
        <v>7358</v>
      </c>
      <c r="H215" s="23">
        <f t="shared" si="3"/>
        <v>114.96875</v>
      </c>
    </row>
    <row r="216" spans="1:8" x14ac:dyDescent="0.2">
      <c r="A216" s="1">
        <v>45352</v>
      </c>
      <c r="B216">
        <v>64</v>
      </c>
      <c r="C216">
        <v>6052</v>
      </c>
      <c r="D216">
        <v>741</v>
      </c>
      <c r="E216">
        <v>565</v>
      </c>
      <c r="F216">
        <v>0</v>
      </c>
      <c r="G216" s="22">
        <f>LineCount[[#This Row],[code]]+LineCount[[#This Row],[comments]]+LineCount[[#This Row],[blanks]]</f>
        <v>7358</v>
      </c>
      <c r="H216" s="23">
        <f t="shared" si="3"/>
        <v>114.96875</v>
      </c>
    </row>
    <row r="217" spans="1:8" x14ac:dyDescent="0.2">
      <c r="A217" s="1">
        <v>45353</v>
      </c>
      <c r="B217">
        <v>65</v>
      </c>
      <c r="C217">
        <v>6125</v>
      </c>
      <c r="D217">
        <v>756</v>
      </c>
      <c r="E217">
        <v>582</v>
      </c>
      <c r="F217">
        <v>0</v>
      </c>
      <c r="G217" s="22">
        <f>LineCount[[#This Row],[code]]+LineCount[[#This Row],[comments]]+LineCount[[#This Row],[blanks]]</f>
        <v>7463</v>
      </c>
      <c r="H217" s="23">
        <f t="shared" si="3"/>
        <v>114.81538461538462</v>
      </c>
    </row>
    <row r="218" spans="1:8" x14ac:dyDescent="0.2">
      <c r="A218" s="1">
        <v>45358</v>
      </c>
      <c r="B218">
        <v>66</v>
      </c>
      <c r="C218">
        <v>6205</v>
      </c>
      <c r="D218">
        <v>770</v>
      </c>
      <c r="E218">
        <v>594</v>
      </c>
      <c r="F218">
        <v>0</v>
      </c>
      <c r="G218" s="22">
        <f>LineCount[[#This Row],[code]]+LineCount[[#This Row],[comments]]+LineCount[[#This Row],[blanks]]</f>
        <v>7569</v>
      </c>
      <c r="H218" s="23">
        <f t="shared" si="3"/>
        <v>114.68181818181819</v>
      </c>
    </row>
    <row r="219" spans="1:8" x14ac:dyDescent="0.2">
      <c r="A219" s="1">
        <v>45359</v>
      </c>
      <c r="B219">
        <v>66</v>
      </c>
      <c r="C219">
        <v>6212</v>
      </c>
      <c r="D219">
        <v>769</v>
      </c>
      <c r="E219">
        <v>596</v>
      </c>
      <c r="F219">
        <v>0</v>
      </c>
      <c r="G219" s="22">
        <f>LineCount[[#This Row],[code]]+LineCount[[#This Row],[comments]]+LineCount[[#This Row],[blanks]]</f>
        <v>7577</v>
      </c>
      <c r="H219" s="23">
        <f t="shared" si="3"/>
        <v>114.8030303030303</v>
      </c>
    </row>
    <row r="220" spans="1:8" x14ac:dyDescent="0.2">
      <c r="A220" s="1">
        <v>45369</v>
      </c>
      <c r="B220">
        <v>66</v>
      </c>
      <c r="C220">
        <v>6236</v>
      </c>
      <c r="D220">
        <v>769</v>
      </c>
      <c r="E220">
        <v>598</v>
      </c>
      <c r="F220">
        <v>0</v>
      </c>
      <c r="G220" s="22">
        <f>LineCount[[#This Row],[code]]+LineCount[[#This Row],[comments]]+LineCount[[#This Row],[blanks]]</f>
        <v>7603</v>
      </c>
      <c r="H220" s="23">
        <f t="shared" si="3"/>
        <v>115.1969696969697</v>
      </c>
    </row>
    <row r="221" spans="1:8" x14ac:dyDescent="0.2">
      <c r="A221" s="1">
        <v>45379</v>
      </c>
      <c r="B221">
        <v>66</v>
      </c>
      <c r="C221">
        <v>6278</v>
      </c>
      <c r="D221">
        <v>768</v>
      </c>
      <c r="E221">
        <v>595</v>
      </c>
      <c r="F221">
        <v>0</v>
      </c>
      <c r="G221" s="22">
        <f>LineCount[[#This Row],[code]]+LineCount[[#This Row],[comments]]+LineCount[[#This Row],[blanks]]</f>
        <v>7641</v>
      </c>
      <c r="H221" s="23">
        <f t="shared" si="3"/>
        <v>115.77272727272727</v>
      </c>
    </row>
    <row r="222" spans="1:8" x14ac:dyDescent="0.2">
      <c r="A222" s="1">
        <v>45381</v>
      </c>
      <c r="B222">
        <v>67</v>
      </c>
      <c r="C222">
        <v>6293</v>
      </c>
      <c r="D222">
        <v>774</v>
      </c>
      <c r="E222">
        <v>601</v>
      </c>
      <c r="F222">
        <v>0</v>
      </c>
      <c r="G222" s="22">
        <f>LineCount[[#This Row],[code]]+LineCount[[#This Row],[comments]]+LineCount[[#This Row],[blanks]]</f>
        <v>7668</v>
      </c>
      <c r="H222" s="23">
        <f t="shared" si="3"/>
        <v>114.44776119402985</v>
      </c>
    </row>
    <row r="223" spans="1:8" x14ac:dyDescent="0.2">
      <c r="A223" s="1">
        <v>45382</v>
      </c>
      <c r="B223">
        <v>68</v>
      </c>
      <c r="C223">
        <v>6321</v>
      </c>
      <c r="D223">
        <v>779</v>
      </c>
      <c r="E223">
        <v>607</v>
      </c>
      <c r="F223">
        <v>0</v>
      </c>
      <c r="G223" s="22">
        <f>LineCount[[#This Row],[code]]+LineCount[[#This Row],[comments]]+LineCount[[#This Row],[blanks]]</f>
        <v>7707</v>
      </c>
      <c r="H223" s="23">
        <f t="shared" si="3"/>
        <v>113.33823529411765</v>
      </c>
    </row>
    <row r="224" spans="1:8" x14ac:dyDescent="0.2">
      <c r="A224" s="1">
        <v>45387</v>
      </c>
      <c r="B224">
        <v>68</v>
      </c>
      <c r="C224">
        <v>6401</v>
      </c>
      <c r="D224">
        <v>745</v>
      </c>
      <c r="E224">
        <v>588</v>
      </c>
      <c r="F224">
        <v>0</v>
      </c>
      <c r="G224" s="22">
        <f>LineCount[[#This Row],[code]]+LineCount[[#This Row],[comments]]+LineCount[[#This Row],[blanks]]</f>
        <v>7734</v>
      </c>
      <c r="H224" s="23">
        <f t="shared" si="3"/>
        <v>113.73529411764706</v>
      </c>
    </row>
    <row r="225" spans="1:8" x14ac:dyDescent="0.2">
      <c r="A225" s="1">
        <v>45391</v>
      </c>
      <c r="B225">
        <v>70</v>
      </c>
      <c r="C225">
        <v>6419</v>
      </c>
      <c r="D225">
        <v>775</v>
      </c>
      <c r="E225">
        <v>604</v>
      </c>
      <c r="F225">
        <v>0</v>
      </c>
      <c r="G225" s="22">
        <f>LineCount[[#This Row],[code]]+LineCount[[#This Row],[comments]]+LineCount[[#This Row],[blanks]]</f>
        <v>7798</v>
      </c>
      <c r="H225" s="23">
        <f t="shared" si="3"/>
        <v>111.4</v>
      </c>
    </row>
    <row r="226" spans="1:8" x14ac:dyDescent="0.2">
      <c r="A226" s="1">
        <v>45402</v>
      </c>
      <c r="B226">
        <v>70</v>
      </c>
      <c r="C226">
        <v>6457</v>
      </c>
      <c r="D226">
        <v>755</v>
      </c>
      <c r="E226">
        <v>575</v>
      </c>
      <c r="F226">
        <v>0</v>
      </c>
      <c r="G226" s="22">
        <f>LineCount[[#This Row],[code]]+LineCount[[#This Row],[comments]]+LineCount[[#This Row],[blanks]]</f>
        <v>7787</v>
      </c>
      <c r="H226" s="23">
        <f t="shared" si="3"/>
        <v>111.24285714285715</v>
      </c>
    </row>
    <row r="227" spans="1:8" x14ac:dyDescent="0.2">
      <c r="A227" s="1">
        <v>45403</v>
      </c>
      <c r="B227">
        <v>70</v>
      </c>
      <c r="C227">
        <v>6456</v>
      </c>
      <c r="D227">
        <v>755</v>
      </c>
      <c r="E227">
        <v>575</v>
      </c>
      <c r="F227">
        <v>0</v>
      </c>
      <c r="G227" s="22">
        <f>LineCount[[#This Row],[code]]+LineCount[[#This Row],[comments]]+LineCount[[#This Row],[blanks]]</f>
        <v>7786</v>
      </c>
      <c r="H227" s="23">
        <f t="shared" si="3"/>
        <v>111.22857142857143</v>
      </c>
    </row>
    <row r="228" spans="1:8" x14ac:dyDescent="0.2">
      <c r="A228" s="1">
        <v>45409</v>
      </c>
      <c r="B228">
        <v>70</v>
      </c>
      <c r="C228">
        <v>6472</v>
      </c>
      <c r="D228">
        <v>793</v>
      </c>
      <c r="E228">
        <v>580</v>
      </c>
      <c r="F228">
        <v>0</v>
      </c>
      <c r="G228" s="22">
        <f>LineCount[[#This Row],[code]]+LineCount[[#This Row],[comments]]+LineCount[[#This Row],[blanks]]</f>
        <v>7845</v>
      </c>
      <c r="H228" s="23">
        <f t="shared" si="3"/>
        <v>112.07142857142857</v>
      </c>
    </row>
    <row r="229" spans="1:8" x14ac:dyDescent="0.2">
      <c r="A229" s="1">
        <v>45410</v>
      </c>
      <c r="B229">
        <v>70</v>
      </c>
      <c r="C229">
        <v>6468</v>
      </c>
      <c r="D229">
        <v>794</v>
      </c>
      <c r="E229">
        <v>581</v>
      </c>
      <c r="F229">
        <v>0</v>
      </c>
      <c r="G229" s="22">
        <f>LineCount[[#This Row],[code]]+LineCount[[#This Row],[comments]]+LineCount[[#This Row],[blanks]]</f>
        <v>7843</v>
      </c>
      <c r="H229" s="23">
        <f t="shared" si="3"/>
        <v>112.04285714285714</v>
      </c>
    </row>
    <row r="230" spans="1:8" x14ac:dyDescent="0.2">
      <c r="A230" s="1">
        <v>45419</v>
      </c>
      <c r="B230">
        <v>70</v>
      </c>
      <c r="C230">
        <v>6474</v>
      </c>
      <c r="D230">
        <v>790</v>
      </c>
      <c r="E230">
        <v>581</v>
      </c>
      <c r="F230">
        <v>0</v>
      </c>
      <c r="G230" s="22">
        <f>LineCount[[#This Row],[code]]+LineCount[[#This Row],[comments]]+LineCount[[#This Row],[blanks]]</f>
        <v>7845</v>
      </c>
      <c r="H230" s="23">
        <f t="shared" si="3"/>
        <v>112.07142857142857</v>
      </c>
    </row>
    <row r="231" spans="1:8" x14ac:dyDescent="0.2">
      <c r="A231" s="1">
        <v>45432</v>
      </c>
      <c r="B231">
        <v>70</v>
      </c>
      <c r="C231">
        <v>6437</v>
      </c>
      <c r="D231">
        <v>790</v>
      </c>
      <c r="E231">
        <v>579</v>
      </c>
      <c r="F231">
        <v>0</v>
      </c>
      <c r="G231" s="22">
        <f>LineCount[[#This Row],[code]]+LineCount[[#This Row],[comments]]+LineCount[[#This Row],[blanks]]</f>
        <v>7806</v>
      </c>
      <c r="H231" s="23">
        <f t="shared" si="3"/>
        <v>111.51428571428572</v>
      </c>
    </row>
    <row r="232" spans="1:8" x14ac:dyDescent="0.2">
      <c r="A232" s="1">
        <v>45438</v>
      </c>
      <c r="B232">
        <v>70</v>
      </c>
      <c r="C232">
        <v>6426</v>
      </c>
      <c r="D232">
        <v>793</v>
      </c>
      <c r="E232">
        <v>586</v>
      </c>
      <c r="F232">
        <v>0</v>
      </c>
      <c r="G232" s="22">
        <f>LineCount[[#This Row],[code]]+LineCount[[#This Row],[comments]]+LineCount[[#This Row],[blanks]]</f>
        <v>7805</v>
      </c>
      <c r="H232" s="23">
        <f t="shared" si="3"/>
        <v>111.5</v>
      </c>
    </row>
    <row r="233" spans="1:8" x14ac:dyDescent="0.2">
      <c r="A233" s="1">
        <v>45444</v>
      </c>
      <c r="B233">
        <v>70</v>
      </c>
      <c r="C233">
        <v>6332</v>
      </c>
      <c r="D233">
        <v>830</v>
      </c>
      <c r="E233">
        <v>618</v>
      </c>
      <c r="F233">
        <v>0</v>
      </c>
      <c r="G233" s="22">
        <f>LineCount[[#This Row],[code]]+LineCount[[#This Row],[comments]]+LineCount[[#This Row],[blanks]]</f>
        <v>7780</v>
      </c>
      <c r="H233" s="23">
        <f t="shared" si="3"/>
        <v>111.14285714285714</v>
      </c>
    </row>
    <row r="234" spans="1:8" x14ac:dyDescent="0.2">
      <c r="A234" s="1">
        <v>45451</v>
      </c>
      <c r="B234">
        <v>70</v>
      </c>
      <c r="C234">
        <v>6371</v>
      </c>
      <c r="D234">
        <v>834</v>
      </c>
      <c r="E234">
        <v>625</v>
      </c>
      <c r="F234">
        <v>0</v>
      </c>
      <c r="G234" s="22">
        <f>LineCount[[#This Row],[code]]+LineCount[[#This Row],[comments]]+LineCount[[#This Row],[blanks]]</f>
        <v>7830</v>
      </c>
      <c r="H234" s="23">
        <f t="shared" si="3"/>
        <v>111.85714285714286</v>
      </c>
    </row>
    <row r="235" spans="1:8" x14ac:dyDescent="0.2">
      <c r="A235" s="1">
        <v>45452</v>
      </c>
      <c r="B235">
        <v>71</v>
      </c>
      <c r="C235">
        <v>6424</v>
      </c>
      <c r="D235">
        <v>844</v>
      </c>
      <c r="E235">
        <v>634</v>
      </c>
      <c r="F235">
        <v>0</v>
      </c>
      <c r="G235" s="22">
        <f>LineCount[[#This Row],[code]]+LineCount[[#This Row],[comments]]+LineCount[[#This Row],[blanks]]</f>
        <v>7902</v>
      </c>
      <c r="H235" s="23">
        <f t="shared" si="3"/>
        <v>111.29577464788733</v>
      </c>
    </row>
    <row r="236" spans="1:8" x14ac:dyDescent="0.2">
      <c r="A236" s="1">
        <v>45459</v>
      </c>
      <c r="B236">
        <v>70</v>
      </c>
      <c r="C236">
        <v>6437</v>
      </c>
      <c r="D236">
        <v>853</v>
      </c>
      <c r="E236">
        <v>632</v>
      </c>
      <c r="F236">
        <v>0</v>
      </c>
      <c r="G236" s="22">
        <f>LineCount[[#This Row],[code]]+LineCount[[#This Row],[comments]]+LineCount[[#This Row],[blanks]]</f>
        <v>7922</v>
      </c>
      <c r="H236" s="23">
        <f t="shared" si="3"/>
        <v>113.17142857142858</v>
      </c>
    </row>
    <row r="237" spans="1:8" x14ac:dyDescent="0.2">
      <c r="A237" s="1">
        <v>45461</v>
      </c>
      <c r="B237">
        <v>70</v>
      </c>
      <c r="C237">
        <v>6494</v>
      </c>
      <c r="D237">
        <v>836</v>
      </c>
      <c r="E237">
        <v>639</v>
      </c>
      <c r="F237">
        <v>0</v>
      </c>
      <c r="G237" s="22">
        <f>LineCount[[#This Row],[code]]+LineCount[[#This Row],[comments]]+LineCount[[#This Row],[blanks]]</f>
        <v>7969</v>
      </c>
      <c r="H237" s="23">
        <f t="shared" si="3"/>
        <v>113.84285714285714</v>
      </c>
    </row>
    <row r="238" spans="1:8" x14ac:dyDescent="0.2">
      <c r="A238" s="1">
        <v>45464</v>
      </c>
      <c r="B238">
        <v>70</v>
      </c>
      <c r="C238">
        <v>6467</v>
      </c>
      <c r="D238">
        <v>841</v>
      </c>
      <c r="E238">
        <v>648</v>
      </c>
      <c r="F238">
        <v>0</v>
      </c>
      <c r="G238" s="22">
        <f>LineCount[[#This Row],[code]]+LineCount[[#This Row],[comments]]+LineCount[[#This Row],[blanks]]</f>
        <v>7956</v>
      </c>
      <c r="H238" s="23">
        <f t="shared" si="3"/>
        <v>113.65714285714286</v>
      </c>
    </row>
    <row r="239" spans="1:8" x14ac:dyDescent="0.2">
      <c r="A239" s="1">
        <v>45466</v>
      </c>
      <c r="B239">
        <v>72</v>
      </c>
      <c r="C239">
        <v>6538</v>
      </c>
      <c r="D239">
        <v>870</v>
      </c>
      <c r="E239">
        <v>683</v>
      </c>
      <c r="F239">
        <v>0</v>
      </c>
      <c r="G239" s="22">
        <f>LineCount[[#This Row],[code]]+LineCount[[#This Row],[comments]]+LineCount[[#This Row],[blanks]]</f>
        <v>8091</v>
      </c>
      <c r="H239" s="23">
        <f t="shared" si="3"/>
        <v>112.375</v>
      </c>
    </row>
    <row r="240" spans="1:8" x14ac:dyDescent="0.2">
      <c r="A240" s="1">
        <v>45479</v>
      </c>
      <c r="B240">
        <v>72</v>
      </c>
      <c r="C240">
        <v>6516</v>
      </c>
      <c r="D240">
        <v>854</v>
      </c>
      <c r="E240">
        <v>683</v>
      </c>
      <c r="F240">
        <v>0</v>
      </c>
      <c r="G240" s="22">
        <f>LineCount[[#This Row],[code]]+LineCount[[#This Row],[comments]]+LineCount[[#This Row],[blanks]]</f>
        <v>8053</v>
      </c>
      <c r="H240" s="23">
        <f t="shared" si="3"/>
        <v>111.84722222222223</v>
      </c>
    </row>
    <row r="241" spans="1:8" x14ac:dyDescent="0.2">
      <c r="A241" s="1">
        <v>45485</v>
      </c>
      <c r="B241">
        <v>72</v>
      </c>
      <c r="C241">
        <v>6541</v>
      </c>
      <c r="D241">
        <v>849</v>
      </c>
      <c r="E241">
        <v>688</v>
      </c>
      <c r="F241">
        <v>0</v>
      </c>
      <c r="G241" s="22">
        <f>LineCount[[#This Row],[code]]+LineCount[[#This Row],[comments]]+LineCount[[#This Row],[blanks]]</f>
        <v>8078</v>
      </c>
      <c r="H241" s="23">
        <f t="shared" si="3"/>
        <v>112.19444444444444</v>
      </c>
    </row>
    <row r="242" spans="1:8" x14ac:dyDescent="0.2">
      <c r="A242" s="1">
        <v>45486</v>
      </c>
      <c r="B242">
        <v>73</v>
      </c>
      <c r="C242">
        <v>6670</v>
      </c>
      <c r="D242">
        <v>919</v>
      </c>
      <c r="E242">
        <v>716</v>
      </c>
      <c r="F242">
        <v>0</v>
      </c>
      <c r="G242" s="22">
        <f>LineCount[[#This Row],[code]]+LineCount[[#This Row],[comments]]+LineCount[[#This Row],[blanks]]</f>
        <v>8305</v>
      </c>
      <c r="H242" s="23">
        <f t="shared" si="3"/>
        <v>113.76712328767124</v>
      </c>
    </row>
    <row r="243" spans="1:8" x14ac:dyDescent="0.2">
      <c r="A243" s="1">
        <v>45487</v>
      </c>
      <c r="B243">
        <v>75</v>
      </c>
      <c r="C243">
        <v>6649</v>
      </c>
      <c r="D243">
        <v>948</v>
      </c>
      <c r="E243">
        <v>715</v>
      </c>
      <c r="F243">
        <v>0</v>
      </c>
      <c r="G243" s="22">
        <f>LineCount[[#This Row],[code]]+LineCount[[#This Row],[comments]]+LineCount[[#This Row],[blanks]]</f>
        <v>8312</v>
      </c>
      <c r="H243" s="23">
        <f t="shared" si="3"/>
        <v>110.82666666666667</v>
      </c>
    </row>
    <row r="244" spans="1:8" x14ac:dyDescent="0.2">
      <c r="A244" s="1">
        <v>45492</v>
      </c>
      <c r="B244">
        <v>75</v>
      </c>
      <c r="C244">
        <v>6750</v>
      </c>
      <c r="D244">
        <v>922</v>
      </c>
      <c r="E244">
        <v>709</v>
      </c>
      <c r="F244">
        <v>0</v>
      </c>
      <c r="G244" s="22">
        <f>LineCount[[#This Row],[code]]+LineCount[[#This Row],[comments]]+LineCount[[#This Row],[blanks]]</f>
        <v>8381</v>
      </c>
      <c r="H244" s="23">
        <f t="shared" si="3"/>
        <v>111.74666666666667</v>
      </c>
    </row>
    <row r="245" spans="1:8" x14ac:dyDescent="0.2">
      <c r="A245" s="1">
        <v>45493</v>
      </c>
      <c r="B245">
        <v>76</v>
      </c>
      <c r="C245">
        <v>6830</v>
      </c>
      <c r="D245">
        <v>940</v>
      </c>
      <c r="E245">
        <v>717</v>
      </c>
      <c r="F245">
        <v>0</v>
      </c>
      <c r="G245" s="22">
        <f>LineCount[[#This Row],[code]]+LineCount[[#This Row],[comments]]+LineCount[[#This Row],[blanks]]</f>
        <v>8487</v>
      </c>
      <c r="H245" s="23">
        <f t="shared" si="3"/>
        <v>111.67105263157895</v>
      </c>
    </row>
    <row r="246" spans="1:8" x14ac:dyDescent="0.2">
      <c r="A246" s="1">
        <v>45494</v>
      </c>
      <c r="B246">
        <v>76</v>
      </c>
      <c r="C246">
        <v>6897</v>
      </c>
      <c r="D246">
        <v>960</v>
      </c>
      <c r="E246">
        <v>731</v>
      </c>
      <c r="F246">
        <v>0</v>
      </c>
      <c r="G246" s="22">
        <f>LineCount[[#This Row],[code]]+LineCount[[#This Row],[comments]]+LineCount[[#This Row],[blanks]]</f>
        <v>8588</v>
      </c>
      <c r="H246" s="23">
        <f t="shared" si="3"/>
        <v>113</v>
      </c>
    </row>
    <row r="247" spans="1:8" x14ac:dyDescent="0.2">
      <c r="A247" s="1">
        <v>45497</v>
      </c>
      <c r="B247">
        <v>76</v>
      </c>
      <c r="C247">
        <v>6923</v>
      </c>
      <c r="D247">
        <v>966</v>
      </c>
      <c r="E247">
        <v>733</v>
      </c>
      <c r="F247">
        <v>0</v>
      </c>
      <c r="G247" s="22">
        <f>LineCount[[#This Row],[code]]+LineCount[[#This Row],[comments]]+LineCount[[#This Row],[blanks]]</f>
        <v>8622</v>
      </c>
      <c r="H247" s="23">
        <f t="shared" si="3"/>
        <v>113.44736842105263</v>
      </c>
    </row>
    <row r="248" spans="1:8" x14ac:dyDescent="0.2">
      <c r="A248" s="1">
        <v>45499</v>
      </c>
      <c r="B248">
        <v>79</v>
      </c>
      <c r="C248">
        <v>6934</v>
      </c>
      <c r="D248">
        <v>978</v>
      </c>
      <c r="E248">
        <v>737</v>
      </c>
      <c r="F248">
        <v>0</v>
      </c>
      <c r="G248" s="22">
        <f>LineCount[[#This Row],[code]]+LineCount[[#This Row],[comments]]+LineCount[[#This Row],[blanks]]</f>
        <v>8649</v>
      </c>
      <c r="H248" s="23">
        <f t="shared" si="3"/>
        <v>109.48101265822785</v>
      </c>
    </row>
    <row r="249" spans="1:8" x14ac:dyDescent="0.2">
      <c r="A249" s="1">
        <v>45500</v>
      </c>
      <c r="B249">
        <v>80</v>
      </c>
      <c r="C249">
        <v>6702</v>
      </c>
      <c r="D249">
        <v>968</v>
      </c>
      <c r="E249">
        <v>721</v>
      </c>
      <c r="F249">
        <v>0</v>
      </c>
      <c r="G249" s="22">
        <f>LineCount[[#This Row],[code]]+LineCount[[#This Row],[comments]]+LineCount[[#This Row],[blanks]]</f>
        <v>8391</v>
      </c>
      <c r="H249" s="23">
        <f t="shared" si="3"/>
        <v>104.8875</v>
      </c>
    </row>
    <row r="250" spans="1:8" x14ac:dyDescent="0.2">
      <c r="A250" s="1">
        <v>45501</v>
      </c>
      <c r="B250">
        <v>80</v>
      </c>
      <c r="C250">
        <v>6706</v>
      </c>
      <c r="D250">
        <v>964</v>
      </c>
      <c r="E250">
        <v>717</v>
      </c>
      <c r="F250">
        <v>0</v>
      </c>
      <c r="G250" s="22">
        <f>LineCount[[#This Row],[code]]+LineCount[[#This Row],[comments]]+LineCount[[#This Row],[blanks]]</f>
        <v>8387</v>
      </c>
      <c r="H250" s="23">
        <f t="shared" si="3"/>
        <v>104.83750000000001</v>
      </c>
    </row>
    <row r="251" spans="1:8" x14ac:dyDescent="0.2">
      <c r="A251" s="1">
        <v>45506</v>
      </c>
      <c r="B251">
        <v>78</v>
      </c>
      <c r="C251">
        <v>6711</v>
      </c>
      <c r="D251">
        <v>963</v>
      </c>
      <c r="E251">
        <v>707</v>
      </c>
      <c r="F251">
        <v>0</v>
      </c>
      <c r="G251" s="22">
        <f>LineCount[[#This Row],[code]]+LineCount[[#This Row],[comments]]+LineCount[[#This Row],[blanks]]</f>
        <v>8381</v>
      </c>
      <c r="H251" s="23">
        <f t="shared" si="3"/>
        <v>107.44871794871794</v>
      </c>
    </row>
    <row r="252" spans="1:8" x14ac:dyDescent="0.2">
      <c r="A252" s="1">
        <v>45508</v>
      </c>
      <c r="B252">
        <v>79</v>
      </c>
      <c r="C252">
        <v>6761</v>
      </c>
      <c r="D252">
        <v>971</v>
      </c>
      <c r="E252">
        <v>717</v>
      </c>
      <c r="F252">
        <v>0</v>
      </c>
      <c r="G252" s="22">
        <f>LineCount[[#This Row],[code]]+LineCount[[#This Row],[comments]]+LineCount[[#This Row],[blanks]]</f>
        <v>8449</v>
      </c>
      <c r="H252" s="23">
        <f t="shared" si="3"/>
        <v>106.9493670886076</v>
      </c>
    </row>
    <row r="253" spans="1:8" x14ac:dyDescent="0.2">
      <c r="A253" s="1">
        <v>45515</v>
      </c>
      <c r="B253">
        <v>79</v>
      </c>
      <c r="C253">
        <v>6767</v>
      </c>
      <c r="D253">
        <v>971</v>
      </c>
      <c r="E253">
        <v>719</v>
      </c>
      <c r="F253">
        <v>0</v>
      </c>
      <c r="G253" s="22">
        <f>LineCount[[#This Row],[code]]+LineCount[[#This Row],[comments]]+LineCount[[#This Row],[blanks]]</f>
        <v>8457</v>
      </c>
      <c r="H253" s="23">
        <f t="shared" si="3"/>
        <v>107.0506329113924</v>
      </c>
    </row>
    <row r="254" spans="1:8" x14ac:dyDescent="0.2">
      <c r="A254" s="1">
        <v>45521</v>
      </c>
      <c r="B254">
        <v>79</v>
      </c>
      <c r="C254">
        <v>6768</v>
      </c>
      <c r="D254">
        <v>971</v>
      </c>
      <c r="E254">
        <v>719</v>
      </c>
      <c r="F254">
        <v>0</v>
      </c>
      <c r="G254" s="22">
        <f>LineCount[[#This Row],[code]]+LineCount[[#This Row],[comments]]+LineCount[[#This Row],[blanks]]</f>
        <v>8458</v>
      </c>
      <c r="H254" s="23">
        <f t="shared" si="3"/>
        <v>107.0632911392405</v>
      </c>
    </row>
    <row r="255" spans="1:8" x14ac:dyDescent="0.2">
      <c r="A255" s="1">
        <v>45522</v>
      </c>
      <c r="B255">
        <v>78</v>
      </c>
      <c r="C255">
        <v>5467</v>
      </c>
      <c r="D255">
        <v>885</v>
      </c>
      <c r="E255">
        <v>700</v>
      </c>
      <c r="F255">
        <v>0</v>
      </c>
      <c r="G255" s="22">
        <f>LineCount[[#This Row],[code]]+LineCount[[#This Row],[comments]]+LineCount[[#This Row],[blanks]]</f>
        <v>7052</v>
      </c>
      <c r="H255" s="23">
        <f t="shared" si="3"/>
        <v>90.410256410256409</v>
      </c>
    </row>
    <row r="256" spans="1:8" x14ac:dyDescent="0.2">
      <c r="A256" s="1">
        <v>45571</v>
      </c>
      <c r="B256">
        <v>78</v>
      </c>
      <c r="C256">
        <v>5475</v>
      </c>
      <c r="D256">
        <v>885</v>
      </c>
      <c r="E256">
        <v>700</v>
      </c>
      <c r="F256">
        <v>0</v>
      </c>
      <c r="G256" s="22">
        <f>LineCount[[#This Row],[code]]+LineCount[[#This Row],[comments]]+LineCount[[#This Row],[blanks]]</f>
        <v>7060</v>
      </c>
      <c r="H256" s="23">
        <f t="shared" si="3"/>
        <v>90.512820512820511</v>
      </c>
    </row>
    <row r="257" spans="1:8" x14ac:dyDescent="0.2">
      <c r="A257" s="1">
        <v>45586</v>
      </c>
      <c r="B257">
        <v>77</v>
      </c>
      <c r="C257">
        <v>5376</v>
      </c>
      <c r="D257">
        <v>878</v>
      </c>
      <c r="E257">
        <v>696</v>
      </c>
      <c r="F257">
        <v>0</v>
      </c>
      <c r="G257" s="22">
        <f>LineCount[[#This Row],[code]]+LineCount[[#This Row],[comments]]+LineCount[[#This Row],[blanks]]</f>
        <v>6950</v>
      </c>
      <c r="H257" s="23">
        <f t="shared" si="3"/>
        <v>90.259740259740255</v>
      </c>
    </row>
    <row r="258" spans="1:8" x14ac:dyDescent="0.2">
      <c r="A258" s="1">
        <v>45595</v>
      </c>
      <c r="B258">
        <v>77</v>
      </c>
      <c r="C258">
        <v>5379</v>
      </c>
      <c r="D258">
        <v>878</v>
      </c>
      <c r="E258">
        <v>696</v>
      </c>
      <c r="F258">
        <v>0</v>
      </c>
      <c r="G258" s="22">
        <f>LineCount[[#This Row],[code]]+LineCount[[#This Row],[comments]]+LineCount[[#This Row],[blanks]]</f>
        <v>6953</v>
      </c>
      <c r="H258" s="23">
        <f t="shared" ref="H258:H321" si="4">G258/B258</f>
        <v>90.298701298701303</v>
      </c>
    </row>
    <row r="259" spans="1:8" x14ac:dyDescent="0.2">
      <c r="A259" s="1">
        <v>45619</v>
      </c>
      <c r="B259">
        <v>77</v>
      </c>
      <c r="C259">
        <v>5392</v>
      </c>
      <c r="D259">
        <v>878</v>
      </c>
      <c r="E259">
        <v>698</v>
      </c>
      <c r="F259">
        <v>0</v>
      </c>
      <c r="G259" s="22">
        <f>LineCount[[#This Row],[code]]+LineCount[[#This Row],[comments]]+LineCount[[#This Row],[blanks]]</f>
        <v>6968</v>
      </c>
      <c r="H259" s="23">
        <f t="shared" si="4"/>
        <v>90.493506493506487</v>
      </c>
    </row>
    <row r="260" spans="1:8" x14ac:dyDescent="0.2">
      <c r="A260" s="1">
        <v>45625</v>
      </c>
      <c r="B260">
        <v>75</v>
      </c>
      <c r="C260">
        <v>5169</v>
      </c>
      <c r="D260">
        <v>817</v>
      </c>
      <c r="E260">
        <v>679</v>
      </c>
      <c r="F260">
        <v>0</v>
      </c>
      <c r="G260" s="22">
        <f>LineCount[[#This Row],[code]]+LineCount[[#This Row],[comments]]+LineCount[[#This Row],[blanks]]</f>
        <v>6665</v>
      </c>
      <c r="H260" s="23">
        <f t="shared" si="4"/>
        <v>88.86666666666666</v>
      </c>
    </row>
    <row r="261" spans="1:8" x14ac:dyDescent="0.2">
      <c r="A261" s="1">
        <v>45626</v>
      </c>
      <c r="B261">
        <v>75</v>
      </c>
      <c r="C261">
        <v>5188</v>
      </c>
      <c r="D261">
        <v>828</v>
      </c>
      <c r="E261">
        <v>683</v>
      </c>
      <c r="F261">
        <v>0</v>
      </c>
      <c r="G261" s="22">
        <f>LineCount[[#This Row],[code]]+LineCount[[#This Row],[comments]]+LineCount[[#This Row],[blanks]]</f>
        <v>6699</v>
      </c>
      <c r="H261" s="23">
        <f t="shared" si="4"/>
        <v>89.32</v>
      </c>
    </row>
    <row r="262" spans="1:8" x14ac:dyDescent="0.2">
      <c r="A262" s="1">
        <v>45630</v>
      </c>
      <c r="B262">
        <v>70</v>
      </c>
      <c r="C262">
        <v>4970</v>
      </c>
      <c r="D262">
        <v>769</v>
      </c>
      <c r="E262">
        <v>648</v>
      </c>
      <c r="F262">
        <v>0</v>
      </c>
      <c r="G262" s="22">
        <f>LineCount[[#This Row],[code]]+LineCount[[#This Row],[comments]]+LineCount[[#This Row],[blanks]]</f>
        <v>6387</v>
      </c>
      <c r="H262" s="23">
        <f t="shared" si="4"/>
        <v>91.242857142857147</v>
      </c>
    </row>
    <row r="263" spans="1:8" x14ac:dyDescent="0.2">
      <c r="A263" s="1">
        <v>45666</v>
      </c>
      <c r="B263">
        <v>70</v>
      </c>
      <c r="C263">
        <v>4980</v>
      </c>
      <c r="D263">
        <v>766</v>
      </c>
      <c r="E263">
        <v>644</v>
      </c>
      <c r="F263">
        <v>0</v>
      </c>
      <c r="G263" s="22">
        <f>LineCount[[#This Row],[code]]+LineCount[[#This Row],[comments]]+LineCount[[#This Row],[blanks]]</f>
        <v>6390</v>
      </c>
      <c r="H263" s="23">
        <f t="shared" si="4"/>
        <v>91.285714285714292</v>
      </c>
    </row>
    <row r="264" spans="1:8" x14ac:dyDescent="0.2">
      <c r="A264" s="1">
        <v>45667</v>
      </c>
      <c r="B264">
        <v>70</v>
      </c>
      <c r="C264">
        <v>4955</v>
      </c>
      <c r="D264">
        <v>765</v>
      </c>
      <c r="E264">
        <v>642</v>
      </c>
      <c r="F264">
        <v>0</v>
      </c>
      <c r="G264" s="22">
        <f>LineCount[[#This Row],[code]]+LineCount[[#This Row],[comments]]+LineCount[[#This Row],[blanks]]</f>
        <v>6362</v>
      </c>
      <c r="H264" s="23">
        <f t="shared" si="4"/>
        <v>90.885714285714286</v>
      </c>
    </row>
    <row r="265" spans="1:8" x14ac:dyDescent="0.2">
      <c r="A265" s="1">
        <v>45668</v>
      </c>
      <c r="B265">
        <v>70</v>
      </c>
      <c r="C265">
        <v>5024</v>
      </c>
      <c r="D265">
        <v>796</v>
      </c>
      <c r="E265">
        <v>667</v>
      </c>
      <c r="F265">
        <v>0</v>
      </c>
      <c r="G265" s="22">
        <f>LineCount[[#This Row],[code]]+LineCount[[#This Row],[comments]]+LineCount[[#This Row],[blanks]]</f>
        <v>6487</v>
      </c>
      <c r="H265" s="23">
        <f t="shared" si="4"/>
        <v>92.671428571428578</v>
      </c>
    </row>
    <row r="266" spans="1:8" x14ac:dyDescent="0.2">
      <c r="A266" s="1">
        <v>45669</v>
      </c>
      <c r="B266">
        <v>70</v>
      </c>
      <c r="C266">
        <v>4980</v>
      </c>
      <c r="D266">
        <v>726</v>
      </c>
      <c r="E266">
        <v>664</v>
      </c>
      <c r="F266">
        <v>0</v>
      </c>
      <c r="G266" s="22">
        <f>LineCount[[#This Row],[code]]+LineCount[[#This Row],[comments]]+LineCount[[#This Row],[blanks]]</f>
        <v>6370</v>
      </c>
      <c r="H266" s="23">
        <f t="shared" si="4"/>
        <v>91</v>
      </c>
    </row>
    <row r="267" spans="1:8" x14ac:dyDescent="0.2">
      <c r="A267" s="1">
        <v>45674</v>
      </c>
      <c r="B267">
        <v>70</v>
      </c>
      <c r="C267">
        <v>4980</v>
      </c>
      <c r="D267">
        <v>726</v>
      </c>
      <c r="E267">
        <v>664</v>
      </c>
      <c r="F267">
        <v>0</v>
      </c>
      <c r="G267" s="22">
        <f>LineCount[[#This Row],[code]]+LineCount[[#This Row],[comments]]+LineCount[[#This Row],[blanks]]</f>
        <v>6370</v>
      </c>
      <c r="H267" s="23">
        <f t="shared" si="4"/>
        <v>91</v>
      </c>
    </row>
    <row r="268" spans="1:8" x14ac:dyDescent="0.2">
      <c r="A268" s="1">
        <v>45683</v>
      </c>
      <c r="B268">
        <v>70</v>
      </c>
      <c r="C268">
        <v>4958</v>
      </c>
      <c r="D268">
        <v>765</v>
      </c>
      <c r="E268">
        <v>642</v>
      </c>
      <c r="F268">
        <v>0</v>
      </c>
      <c r="G268" s="22">
        <f>LineCount[[#This Row],[code]]+LineCount[[#This Row],[comments]]+LineCount[[#This Row],[blanks]]</f>
        <v>6365</v>
      </c>
      <c r="H268" s="23">
        <f t="shared" si="4"/>
        <v>90.928571428571431</v>
      </c>
    </row>
    <row r="269" spans="1:8" x14ac:dyDescent="0.2">
      <c r="A269" s="1">
        <v>45684</v>
      </c>
      <c r="B269">
        <v>70</v>
      </c>
      <c r="C269">
        <v>5082</v>
      </c>
      <c r="D269">
        <v>741</v>
      </c>
      <c r="E269">
        <v>673</v>
      </c>
      <c r="F269">
        <v>0</v>
      </c>
      <c r="G269" s="22">
        <f>LineCount[[#This Row],[code]]+LineCount[[#This Row],[comments]]+LineCount[[#This Row],[blanks]]</f>
        <v>6496</v>
      </c>
      <c r="H269" s="23">
        <f t="shared" si="4"/>
        <v>92.8</v>
      </c>
    </row>
    <row r="270" spans="1:8" x14ac:dyDescent="0.2">
      <c r="A270" s="1">
        <v>45697</v>
      </c>
      <c r="B270">
        <v>70</v>
      </c>
      <c r="C270">
        <v>5037</v>
      </c>
      <c r="D270">
        <v>704</v>
      </c>
      <c r="E270">
        <v>652</v>
      </c>
      <c r="F270">
        <v>0</v>
      </c>
      <c r="G270" s="22">
        <f>LineCount[[#This Row],[code]]+LineCount[[#This Row],[comments]]+LineCount[[#This Row],[blanks]]</f>
        <v>6393</v>
      </c>
      <c r="H270" s="23">
        <f t="shared" si="4"/>
        <v>91.328571428571422</v>
      </c>
    </row>
    <row r="271" spans="1:8" x14ac:dyDescent="0.2">
      <c r="A271" s="1">
        <v>45702</v>
      </c>
      <c r="B271">
        <v>70</v>
      </c>
      <c r="C271">
        <v>5069</v>
      </c>
      <c r="D271">
        <v>696</v>
      </c>
      <c r="E271">
        <v>649</v>
      </c>
      <c r="F271">
        <v>0</v>
      </c>
      <c r="G271" s="22">
        <f>LineCount[[#This Row],[code]]+LineCount[[#This Row],[comments]]+LineCount[[#This Row],[blanks]]</f>
        <v>6414</v>
      </c>
      <c r="H271" s="23">
        <f t="shared" si="4"/>
        <v>91.628571428571433</v>
      </c>
    </row>
    <row r="272" spans="1:8" x14ac:dyDescent="0.2">
      <c r="A272" s="1">
        <v>45707</v>
      </c>
      <c r="B272">
        <v>75</v>
      </c>
      <c r="C272">
        <v>5073</v>
      </c>
      <c r="D272">
        <v>708</v>
      </c>
      <c r="E272">
        <v>653</v>
      </c>
      <c r="F272">
        <v>0</v>
      </c>
      <c r="G272" s="22">
        <f>LineCount[[#This Row],[code]]+LineCount[[#This Row],[comments]]+LineCount[[#This Row],[blanks]]</f>
        <v>6434</v>
      </c>
      <c r="H272" s="23">
        <f t="shared" si="4"/>
        <v>85.786666666666662</v>
      </c>
    </row>
    <row r="273" spans="1:8" x14ac:dyDescent="0.2">
      <c r="A273" s="1">
        <v>45711</v>
      </c>
      <c r="B273">
        <v>82</v>
      </c>
      <c r="C273">
        <v>5831</v>
      </c>
      <c r="D273">
        <v>803</v>
      </c>
      <c r="E273">
        <v>743</v>
      </c>
      <c r="F273">
        <v>9</v>
      </c>
      <c r="G273" s="22">
        <f>LineCount[[#This Row],[code]]+LineCount[[#This Row],[comments]]+LineCount[[#This Row],[blanks]]</f>
        <v>7377</v>
      </c>
      <c r="H273" s="23">
        <f t="shared" si="4"/>
        <v>89.963414634146346</v>
      </c>
    </row>
    <row r="274" spans="1:8" x14ac:dyDescent="0.2">
      <c r="A274" s="1">
        <v>45712</v>
      </c>
      <c r="B274">
        <v>83</v>
      </c>
      <c r="C274">
        <v>5928</v>
      </c>
      <c r="D274">
        <v>802</v>
      </c>
      <c r="E274">
        <v>737</v>
      </c>
      <c r="F274">
        <v>12</v>
      </c>
      <c r="G274" s="22">
        <f>LineCount[[#This Row],[code]]+LineCount[[#This Row],[comments]]+LineCount[[#This Row],[blanks]]</f>
        <v>7467</v>
      </c>
      <c r="H274" s="23">
        <f t="shared" si="4"/>
        <v>89.963855421686745</v>
      </c>
    </row>
    <row r="275" spans="1:8" x14ac:dyDescent="0.2">
      <c r="A275" s="1">
        <v>45714</v>
      </c>
      <c r="B275">
        <v>84</v>
      </c>
      <c r="C275">
        <v>6120</v>
      </c>
      <c r="D275">
        <v>814</v>
      </c>
      <c r="E275">
        <v>750</v>
      </c>
      <c r="F275">
        <v>14</v>
      </c>
      <c r="G275" s="22">
        <f>LineCount[[#This Row],[code]]+LineCount[[#This Row],[comments]]+LineCount[[#This Row],[blanks]]</f>
        <v>7684</v>
      </c>
      <c r="H275" s="23">
        <f t="shared" si="4"/>
        <v>91.476190476190482</v>
      </c>
    </row>
    <row r="276" spans="1:8" x14ac:dyDescent="0.2">
      <c r="A276" s="1">
        <v>45717</v>
      </c>
      <c r="B276">
        <v>84</v>
      </c>
      <c r="C276">
        <v>6195</v>
      </c>
      <c r="D276">
        <v>814</v>
      </c>
      <c r="E276">
        <v>764</v>
      </c>
      <c r="F276">
        <v>14</v>
      </c>
      <c r="G276" s="22">
        <f>LineCount[[#This Row],[code]]+LineCount[[#This Row],[comments]]+LineCount[[#This Row],[blanks]]</f>
        <v>7773</v>
      </c>
      <c r="H276" s="23">
        <f t="shared" si="4"/>
        <v>92.535714285714292</v>
      </c>
    </row>
    <row r="277" spans="1:8" x14ac:dyDescent="0.2">
      <c r="A277" s="1">
        <v>45718</v>
      </c>
      <c r="B277">
        <v>84</v>
      </c>
      <c r="C277">
        <v>6204</v>
      </c>
      <c r="D277">
        <v>814</v>
      </c>
      <c r="E277">
        <v>763</v>
      </c>
      <c r="F277">
        <v>14</v>
      </c>
      <c r="G277" s="22">
        <f>LineCount[[#This Row],[code]]+LineCount[[#This Row],[comments]]+LineCount[[#This Row],[blanks]]</f>
        <v>7781</v>
      </c>
      <c r="H277" s="23">
        <f t="shared" si="4"/>
        <v>92.63095238095238</v>
      </c>
    </row>
    <row r="278" spans="1:8" x14ac:dyDescent="0.2">
      <c r="A278" s="1">
        <v>45721</v>
      </c>
      <c r="B278">
        <v>85</v>
      </c>
      <c r="C278">
        <v>6351</v>
      </c>
      <c r="D278">
        <v>828</v>
      </c>
      <c r="E278">
        <v>777</v>
      </c>
      <c r="F278">
        <v>15</v>
      </c>
      <c r="G278" s="22">
        <f>LineCount[[#This Row],[code]]+LineCount[[#This Row],[comments]]+LineCount[[#This Row],[blanks]]</f>
        <v>7956</v>
      </c>
      <c r="H278" s="23">
        <f t="shared" si="4"/>
        <v>93.6</v>
      </c>
    </row>
    <row r="279" spans="1:8" x14ac:dyDescent="0.2">
      <c r="A279" s="1">
        <v>45724</v>
      </c>
      <c r="B279">
        <v>83</v>
      </c>
      <c r="C279">
        <v>6336</v>
      </c>
      <c r="D279">
        <v>816</v>
      </c>
      <c r="E279">
        <v>782</v>
      </c>
      <c r="F279">
        <v>15</v>
      </c>
      <c r="G279" s="22">
        <f>LineCount[[#This Row],[code]]+LineCount[[#This Row],[comments]]+LineCount[[#This Row],[blanks]]</f>
        <v>7934</v>
      </c>
      <c r="H279" s="23">
        <f t="shared" si="4"/>
        <v>95.590361445783131</v>
      </c>
    </row>
    <row r="280" spans="1:8" x14ac:dyDescent="0.2">
      <c r="A280" s="1">
        <v>45725</v>
      </c>
      <c r="B280">
        <v>83</v>
      </c>
      <c r="C280">
        <v>6406</v>
      </c>
      <c r="D280">
        <v>830</v>
      </c>
      <c r="E280">
        <v>801</v>
      </c>
      <c r="F280">
        <v>17</v>
      </c>
      <c r="G280" s="22">
        <f>LineCount[[#This Row],[code]]+LineCount[[#This Row],[comments]]+LineCount[[#This Row],[blanks]]</f>
        <v>8037</v>
      </c>
      <c r="H280" s="23">
        <f t="shared" si="4"/>
        <v>96.831325301204814</v>
      </c>
    </row>
    <row r="281" spans="1:8" x14ac:dyDescent="0.2">
      <c r="A281" s="1">
        <v>45728</v>
      </c>
      <c r="B281">
        <v>84</v>
      </c>
      <c r="C281">
        <v>6617</v>
      </c>
      <c r="D281">
        <v>840</v>
      </c>
      <c r="E281">
        <v>823</v>
      </c>
      <c r="F281">
        <v>19</v>
      </c>
      <c r="G281" s="22">
        <f>LineCount[[#This Row],[code]]+LineCount[[#This Row],[comments]]+LineCount[[#This Row],[blanks]]</f>
        <v>8280</v>
      </c>
      <c r="H281" s="23">
        <f t="shared" si="4"/>
        <v>98.571428571428569</v>
      </c>
    </row>
    <row r="282" spans="1:8" x14ac:dyDescent="0.2">
      <c r="A282" s="1">
        <v>45729</v>
      </c>
      <c r="B282">
        <v>84</v>
      </c>
      <c r="C282">
        <v>6643</v>
      </c>
      <c r="D282">
        <v>840</v>
      </c>
      <c r="E282">
        <v>823</v>
      </c>
      <c r="F282">
        <v>19</v>
      </c>
      <c r="G282" s="22">
        <f>LineCount[[#This Row],[code]]+LineCount[[#This Row],[comments]]+LineCount[[#This Row],[blanks]]</f>
        <v>8306</v>
      </c>
      <c r="H282" s="23">
        <f t="shared" si="4"/>
        <v>98.88095238095238</v>
      </c>
    </row>
    <row r="283" spans="1:8" x14ac:dyDescent="0.2">
      <c r="A283" s="1">
        <v>45730</v>
      </c>
      <c r="B283">
        <v>84</v>
      </c>
      <c r="C283">
        <v>6677</v>
      </c>
      <c r="D283">
        <v>842</v>
      </c>
      <c r="E283">
        <v>826</v>
      </c>
      <c r="F283">
        <v>20</v>
      </c>
      <c r="G283" s="22">
        <f>LineCount[[#This Row],[code]]+LineCount[[#This Row],[comments]]+LineCount[[#This Row],[blanks]]</f>
        <v>8345</v>
      </c>
      <c r="H283" s="23">
        <f t="shared" si="4"/>
        <v>99.345238095238102</v>
      </c>
    </row>
    <row r="284" spans="1:8" x14ac:dyDescent="0.2">
      <c r="A284" s="1">
        <v>45738</v>
      </c>
      <c r="B284">
        <v>84</v>
      </c>
      <c r="C284">
        <v>6755</v>
      </c>
      <c r="D284">
        <v>849</v>
      </c>
      <c r="E284">
        <v>849</v>
      </c>
      <c r="F284">
        <v>22</v>
      </c>
      <c r="G284" s="22">
        <f>LineCount[[#This Row],[code]]+LineCount[[#This Row],[comments]]+LineCount[[#This Row],[blanks]]</f>
        <v>8453</v>
      </c>
      <c r="H284" s="23">
        <f t="shared" si="4"/>
        <v>100.63095238095238</v>
      </c>
    </row>
    <row r="285" spans="1:8" x14ac:dyDescent="0.2">
      <c r="A285" s="1">
        <v>45739</v>
      </c>
      <c r="B285">
        <v>84</v>
      </c>
      <c r="C285">
        <v>6809</v>
      </c>
      <c r="D285">
        <v>845</v>
      </c>
      <c r="E285">
        <v>845</v>
      </c>
      <c r="F285">
        <v>22</v>
      </c>
      <c r="G285" s="22">
        <f>LineCount[[#This Row],[code]]+LineCount[[#This Row],[comments]]+LineCount[[#This Row],[blanks]]</f>
        <v>8499</v>
      </c>
      <c r="H285" s="23">
        <f t="shared" si="4"/>
        <v>101.17857142857143</v>
      </c>
    </row>
    <row r="286" spans="1:8" x14ac:dyDescent="0.2">
      <c r="A286" s="1">
        <v>45740</v>
      </c>
      <c r="B286">
        <v>84</v>
      </c>
      <c r="C286">
        <v>6865</v>
      </c>
      <c r="D286">
        <v>853</v>
      </c>
      <c r="E286">
        <v>851</v>
      </c>
      <c r="F286">
        <v>22</v>
      </c>
      <c r="G286" s="22">
        <f>LineCount[[#This Row],[code]]+LineCount[[#This Row],[comments]]+LineCount[[#This Row],[blanks]]</f>
        <v>8569</v>
      </c>
      <c r="H286" s="23">
        <f t="shared" si="4"/>
        <v>102.01190476190476</v>
      </c>
    </row>
    <row r="287" spans="1:8" x14ac:dyDescent="0.2">
      <c r="A287" s="1">
        <v>45746</v>
      </c>
      <c r="B287">
        <v>85</v>
      </c>
      <c r="C287">
        <v>6848</v>
      </c>
      <c r="D287">
        <v>855</v>
      </c>
      <c r="E287">
        <v>856</v>
      </c>
      <c r="F287">
        <v>22</v>
      </c>
      <c r="G287" s="22">
        <f>LineCount[[#This Row],[code]]+LineCount[[#This Row],[comments]]+LineCount[[#This Row],[blanks]]</f>
        <v>8559</v>
      </c>
      <c r="H287" s="23">
        <f t="shared" si="4"/>
        <v>100.69411764705882</v>
      </c>
    </row>
    <row r="288" spans="1:8" x14ac:dyDescent="0.2">
      <c r="A288" s="1">
        <v>45748</v>
      </c>
      <c r="B288">
        <v>85</v>
      </c>
      <c r="C288">
        <v>6850</v>
      </c>
      <c r="D288">
        <v>855</v>
      </c>
      <c r="E288">
        <v>856</v>
      </c>
      <c r="F288">
        <v>22</v>
      </c>
      <c r="G288" s="22">
        <f>LineCount[[#This Row],[code]]+LineCount[[#This Row],[comments]]+LineCount[[#This Row],[blanks]]</f>
        <v>8561</v>
      </c>
      <c r="H288" s="23">
        <f t="shared" si="4"/>
        <v>100.71764705882353</v>
      </c>
    </row>
    <row r="289" spans="1:8" x14ac:dyDescent="0.2">
      <c r="A289" s="1">
        <v>45754</v>
      </c>
      <c r="B289">
        <v>80</v>
      </c>
      <c r="C289">
        <v>6442</v>
      </c>
      <c r="D289">
        <v>809</v>
      </c>
      <c r="E289">
        <v>829</v>
      </c>
      <c r="F289">
        <v>23</v>
      </c>
      <c r="G289" s="22">
        <f>LineCount[[#This Row],[code]]+LineCount[[#This Row],[comments]]+LineCount[[#This Row],[blanks]]</f>
        <v>8080</v>
      </c>
      <c r="H289" s="23">
        <f t="shared" si="4"/>
        <v>101</v>
      </c>
    </row>
    <row r="290" spans="1:8" x14ac:dyDescent="0.2">
      <c r="A290" s="1">
        <v>45766</v>
      </c>
      <c r="B290">
        <v>80</v>
      </c>
      <c r="C290">
        <v>6491</v>
      </c>
      <c r="D290">
        <v>809</v>
      </c>
      <c r="E290">
        <v>829</v>
      </c>
      <c r="F290">
        <v>23</v>
      </c>
      <c r="G290" s="22">
        <f>LineCount[[#This Row],[code]]+LineCount[[#This Row],[comments]]+LineCount[[#This Row],[blanks]]</f>
        <v>8129</v>
      </c>
      <c r="H290" s="23">
        <f t="shared" si="4"/>
        <v>101.6125</v>
      </c>
    </row>
    <row r="291" spans="1:8" x14ac:dyDescent="0.2">
      <c r="A291" s="1">
        <v>45775</v>
      </c>
      <c r="B291">
        <v>81</v>
      </c>
      <c r="C291">
        <v>6486</v>
      </c>
      <c r="D291">
        <v>829</v>
      </c>
      <c r="E291">
        <v>844</v>
      </c>
      <c r="F291">
        <v>23</v>
      </c>
      <c r="G291" s="22">
        <f>LineCount[[#This Row],[code]]+LineCount[[#This Row],[comments]]+LineCount[[#This Row],[blanks]]</f>
        <v>8159</v>
      </c>
      <c r="H291" s="23">
        <f t="shared" si="4"/>
        <v>100.72839506172839</v>
      </c>
    </row>
    <row r="292" spans="1:8" x14ac:dyDescent="0.2">
      <c r="A292" s="1">
        <v>45810</v>
      </c>
      <c r="B292">
        <v>83</v>
      </c>
      <c r="C292">
        <v>6564</v>
      </c>
      <c r="D292">
        <v>842</v>
      </c>
      <c r="E292">
        <v>863</v>
      </c>
      <c r="F292">
        <v>23</v>
      </c>
      <c r="G292" s="22">
        <f>LineCount[[#This Row],[code]]+LineCount[[#This Row],[comments]]+LineCount[[#This Row],[blanks]]</f>
        <v>8269</v>
      </c>
      <c r="H292" s="23">
        <f t="shared" si="4"/>
        <v>99.626506024096386</v>
      </c>
    </row>
    <row r="293" spans="1:8" x14ac:dyDescent="0.2">
      <c r="A293" s="1">
        <v>45811</v>
      </c>
      <c r="B293">
        <v>86</v>
      </c>
      <c r="C293">
        <v>6894</v>
      </c>
      <c r="D293">
        <v>862</v>
      </c>
      <c r="E293">
        <v>890</v>
      </c>
      <c r="F293">
        <v>23</v>
      </c>
      <c r="G293" s="22">
        <f>LineCount[[#This Row],[code]]+LineCount[[#This Row],[comments]]+LineCount[[#This Row],[blanks]]</f>
        <v>8646</v>
      </c>
      <c r="H293" s="23">
        <f t="shared" si="4"/>
        <v>100.53488372093024</v>
      </c>
    </row>
    <row r="294" spans="1:8" x14ac:dyDescent="0.2">
      <c r="A294" s="1">
        <v>45812</v>
      </c>
      <c r="B294">
        <v>86</v>
      </c>
      <c r="C294">
        <v>6555</v>
      </c>
      <c r="D294">
        <v>856</v>
      </c>
      <c r="E294">
        <v>913</v>
      </c>
      <c r="F294">
        <v>23</v>
      </c>
      <c r="G294" s="22">
        <f>LineCount[[#This Row],[code]]+LineCount[[#This Row],[comments]]+LineCount[[#This Row],[blanks]]</f>
        <v>8324</v>
      </c>
      <c r="H294" s="23">
        <f t="shared" si="4"/>
        <v>96.79069767441861</v>
      </c>
    </row>
    <row r="295" spans="1:8" x14ac:dyDescent="0.2">
      <c r="A295" s="1">
        <v>45817</v>
      </c>
      <c r="B295">
        <v>86</v>
      </c>
      <c r="C295">
        <v>6645</v>
      </c>
      <c r="D295">
        <v>868</v>
      </c>
      <c r="E295">
        <v>924</v>
      </c>
      <c r="F295">
        <v>23</v>
      </c>
      <c r="G295" s="22">
        <f>LineCount[[#This Row],[code]]+LineCount[[#This Row],[comments]]+LineCount[[#This Row],[blanks]]</f>
        <v>8437</v>
      </c>
      <c r="H295" s="23">
        <f t="shared" si="4"/>
        <v>98.104651162790702</v>
      </c>
    </row>
    <row r="296" spans="1:8" x14ac:dyDescent="0.2">
      <c r="A296" s="1">
        <v>45818</v>
      </c>
      <c r="B296">
        <v>86</v>
      </c>
      <c r="C296">
        <v>6664</v>
      </c>
      <c r="D296">
        <v>869</v>
      </c>
      <c r="E296">
        <v>929</v>
      </c>
      <c r="F296">
        <v>23</v>
      </c>
      <c r="G296" s="22">
        <f>LineCount[[#This Row],[code]]+LineCount[[#This Row],[comments]]+LineCount[[#This Row],[blanks]]</f>
        <v>8462</v>
      </c>
      <c r="H296" s="23">
        <f t="shared" si="4"/>
        <v>98.395348837209298</v>
      </c>
    </row>
    <row r="297" spans="1:8" x14ac:dyDescent="0.2">
      <c r="A297" s="1">
        <v>45822</v>
      </c>
      <c r="B297">
        <v>87</v>
      </c>
      <c r="C297">
        <v>6711</v>
      </c>
      <c r="D297">
        <v>879</v>
      </c>
      <c r="E297">
        <v>941</v>
      </c>
      <c r="F297">
        <v>23</v>
      </c>
      <c r="G297" s="22">
        <f>LineCount[[#This Row],[code]]+LineCount[[#This Row],[comments]]+LineCount[[#This Row],[blanks]]</f>
        <v>8531</v>
      </c>
      <c r="H297" s="23">
        <f t="shared" si="4"/>
        <v>98.05747126436782</v>
      </c>
    </row>
    <row r="298" spans="1:8" x14ac:dyDescent="0.2">
      <c r="A298" s="1">
        <v>45823</v>
      </c>
      <c r="B298">
        <v>88</v>
      </c>
      <c r="C298">
        <v>6708</v>
      </c>
      <c r="D298">
        <v>883</v>
      </c>
      <c r="E298">
        <v>946</v>
      </c>
      <c r="F298">
        <v>23</v>
      </c>
      <c r="G298" s="22">
        <f>LineCount[[#This Row],[code]]+LineCount[[#This Row],[comments]]+LineCount[[#This Row],[blanks]]</f>
        <v>8537</v>
      </c>
      <c r="H298" s="23">
        <f t="shared" si="4"/>
        <v>97.01136363636364</v>
      </c>
    </row>
    <row r="299" spans="1:8" x14ac:dyDescent="0.2">
      <c r="A299" s="1">
        <v>45831</v>
      </c>
      <c r="B299">
        <v>88</v>
      </c>
      <c r="C299">
        <v>6718</v>
      </c>
      <c r="D299">
        <v>884</v>
      </c>
      <c r="E299">
        <v>948</v>
      </c>
      <c r="F299">
        <v>23</v>
      </c>
      <c r="G299" s="22">
        <f>LineCount[[#This Row],[code]]+LineCount[[#This Row],[comments]]+LineCount[[#This Row],[blanks]]</f>
        <v>8550</v>
      </c>
      <c r="H299" s="23">
        <f t="shared" si="4"/>
        <v>97.159090909090907</v>
      </c>
    </row>
    <row r="300" spans="1:8" x14ac:dyDescent="0.2">
      <c r="A300" s="1">
        <v>45832</v>
      </c>
      <c r="B300">
        <v>88</v>
      </c>
      <c r="C300">
        <v>6707</v>
      </c>
      <c r="D300">
        <v>907</v>
      </c>
      <c r="E300">
        <v>948</v>
      </c>
      <c r="F300">
        <v>23</v>
      </c>
      <c r="G300" s="22">
        <f>LineCount[[#This Row],[code]]+LineCount[[#This Row],[comments]]+LineCount[[#This Row],[blanks]]</f>
        <v>8562</v>
      </c>
      <c r="H300" s="23">
        <f t="shared" si="4"/>
        <v>97.295454545454547</v>
      </c>
    </row>
    <row r="301" spans="1:8" x14ac:dyDescent="0.2">
      <c r="A301" s="1">
        <v>45833</v>
      </c>
      <c r="B301">
        <v>88</v>
      </c>
      <c r="C301">
        <v>6727</v>
      </c>
      <c r="D301">
        <v>884</v>
      </c>
      <c r="E301">
        <v>951</v>
      </c>
      <c r="F301">
        <v>23</v>
      </c>
      <c r="G301" s="22">
        <f>LineCount[[#This Row],[code]]+LineCount[[#This Row],[comments]]+LineCount[[#This Row],[blanks]]</f>
        <v>8562</v>
      </c>
      <c r="H301" s="23">
        <f t="shared" si="4"/>
        <v>97.295454545454547</v>
      </c>
    </row>
    <row r="302" spans="1:8" x14ac:dyDescent="0.2">
      <c r="A302" s="1">
        <v>45844</v>
      </c>
      <c r="B302">
        <v>89</v>
      </c>
      <c r="C302">
        <v>6764</v>
      </c>
      <c r="D302">
        <v>893</v>
      </c>
      <c r="E302">
        <v>962</v>
      </c>
      <c r="F302">
        <v>23</v>
      </c>
      <c r="G302" s="22">
        <f>LineCount[[#This Row],[code]]+LineCount[[#This Row],[comments]]+LineCount[[#This Row],[blanks]]</f>
        <v>8619</v>
      </c>
      <c r="H302" s="23">
        <f t="shared" si="4"/>
        <v>96.842696629213478</v>
      </c>
    </row>
    <row r="303" spans="1:8" x14ac:dyDescent="0.2">
      <c r="A303" s="1">
        <v>45857</v>
      </c>
      <c r="B303">
        <v>89</v>
      </c>
      <c r="C303">
        <v>6781</v>
      </c>
      <c r="D303">
        <v>894</v>
      </c>
      <c r="E303">
        <v>964</v>
      </c>
      <c r="F303">
        <v>23</v>
      </c>
      <c r="G303" s="22">
        <f>LineCount[[#This Row],[code]]+LineCount[[#This Row],[comments]]+LineCount[[#This Row],[blanks]]</f>
        <v>8639</v>
      </c>
      <c r="H303" s="23">
        <f t="shared" si="4"/>
        <v>97.067415730337075</v>
      </c>
    </row>
    <row r="304" spans="1:8" x14ac:dyDescent="0.2">
      <c r="A304" s="1">
        <v>45858</v>
      </c>
      <c r="B304">
        <v>89</v>
      </c>
      <c r="C304">
        <v>6781</v>
      </c>
      <c r="D304">
        <v>894</v>
      </c>
      <c r="E304">
        <v>964</v>
      </c>
      <c r="F304">
        <v>23</v>
      </c>
      <c r="G304" s="22">
        <f>LineCount[[#This Row],[code]]+LineCount[[#This Row],[comments]]+LineCount[[#This Row],[blanks]]</f>
        <v>8639</v>
      </c>
      <c r="H304" s="23">
        <f t="shared" si="4"/>
        <v>97.067415730337075</v>
      </c>
    </row>
    <row r="305" spans="1:8" x14ac:dyDescent="0.2">
      <c r="A305" s="1">
        <v>45868</v>
      </c>
      <c r="B305">
        <v>89</v>
      </c>
      <c r="C305">
        <v>6791</v>
      </c>
      <c r="D305">
        <v>893</v>
      </c>
      <c r="E305">
        <v>967</v>
      </c>
      <c r="F305">
        <v>23</v>
      </c>
      <c r="G305" s="22">
        <f>LineCount[[#This Row],[code]]+LineCount[[#This Row],[comments]]+LineCount[[#This Row],[blanks]]</f>
        <v>8651</v>
      </c>
      <c r="H305" s="23">
        <f t="shared" si="4"/>
        <v>97.202247191011239</v>
      </c>
    </row>
    <row r="306" spans="1:8" x14ac:dyDescent="0.2">
      <c r="A306" s="1">
        <v>45870</v>
      </c>
      <c r="B306">
        <v>89</v>
      </c>
      <c r="C306">
        <v>6859</v>
      </c>
      <c r="D306">
        <v>896</v>
      </c>
      <c r="E306">
        <v>973</v>
      </c>
      <c r="F306">
        <v>23</v>
      </c>
      <c r="G306" s="22">
        <f>LineCount[[#This Row],[code]]+LineCount[[#This Row],[comments]]+LineCount[[#This Row],[blanks]]</f>
        <v>8728</v>
      </c>
      <c r="H306" s="23">
        <f t="shared" si="4"/>
        <v>98.067415730337075</v>
      </c>
    </row>
    <row r="307" spans="1:8" x14ac:dyDescent="0.2">
      <c r="A307" s="1">
        <v>45892</v>
      </c>
      <c r="B307">
        <v>90</v>
      </c>
      <c r="C307">
        <v>6959</v>
      </c>
      <c r="D307">
        <v>977</v>
      </c>
      <c r="E307">
        <v>968</v>
      </c>
      <c r="F307">
        <v>23</v>
      </c>
      <c r="G307" s="22">
        <f>LineCount[[#This Row],[code]]+LineCount[[#This Row],[comments]]+LineCount[[#This Row],[blanks]]</f>
        <v>8904</v>
      </c>
      <c r="H307" s="23">
        <f t="shared" si="4"/>
        <v>98.933333333333337</v>
      </c>
    </row>
    <row r="308" spans="1:8" x14ac:dyDescent="0.2">
      <c r="A308" s="1">
        <v>45895</v>
      </c>
      <c r="B308">
        <v>90</v>
      </c>
      <c r="C308">
        <v>7046</v>
      </c>
      <c r="D308">
        <v>939</v>
      </c>
      <c r="E308">
        <v>986</v>
      </c>
      <c r="F308">
        <v>24</v>
      </c>
      <c r="G308" s="22">
        <f>LineCount[[#This Row],[code]]+LineCount[[#This Row],[comments]]+LineCount[[#This Row],[blanks]]</f>
        <v>8971</v>
      </c>
      <c r="H308" s="23">
        <f t="shared" si="4"/>
        <v>99.677777777777777</v>
      </c>
    </row>
    <row r="309" spans="1:8" x14ac:dyDescent="0.2">
      <c r="A309" s="1">
        <v>45898</v>
      </c>
      <c r="B309">
        <v>90</v>
      </c>
      <c r="C309">
        <v>7177</v>
      </c>
      <c r="D309">
        <v>905</v>
      </c>
      <c r="E309">
        <v>958</v>
      </c>
      <c r="F309">
        <v>24</v>
      </c>
      <c r="G309" s="22">
        <f>LineCount[[#This Row],[code]]+LineCount[[#This Row],[comments]]+LineCount[[#This Row],[blanks]]</f>
        <v>9040</v>
      </c>
      <c r="H309" s="23">
        <f t="shared" si="4"/>
        <v>100.44444444444444</v>
      </c>
    </row>
    <row r="310" spans="1:8" x14ac:dyDescent="0.2">
      <c r="A310" s="1">
        <v>45908</v>
      </c>
      <c r="B310">
        <v>99</v>
      </c>
      <c r="C310">
        <v>8630</v>
      </c>
      <c r="D310">
        <v>979</v>
      </c>
      <c r="E310">
        <v>1043</v>
      </c>
      <c r="F310">
        <v>24</v>
      </c>
      <c r="G310" s="22">
        <f>LineCount[[#This Row],[code]]+LineCount[[#This Row],[comments]]+LineCount[[#This Row],[blanks]]</f>
        <v>10652</v>
      </c>
      <c r="H310" s="23">
        <f t="shared" si="4"/>
        <v>107.5959595959596</v>
      </c>
    </row>
    <row r="311" spans="1:8" x14ac:dyDescent="0.2">
      <c r="A311" s="1">
        <v>45913</v>
      </c>
      <c r="B311">
        <v>101</v>
      </c>
      <c r="C311">
        <v>8833</v>
      </c>
      <c r="D311">
        <v>987</v>
      </c>
      <c r="E311">
        <v>1056</v>
      </c>
      <c r="F311">
        <v>31</v>
      </c>
      <c r="G311" s="22">
        <f>LineCount[[#This Row],[code]]+LineCount[[#This Row],[comments]]+LineCount[[#This Row],[blanks]]</f>
        <v>10876</v>
      </c>
      <c r="H311" s="23">
        <f t="shared" si="4"/>
        <v>107.68316831683168</v>
      </c>
    </row>
    <row r="312" spans="1:8" x14ac:dyDescent="0.2">
      <c r="A312" s="1">
        <v>45931</v>
      </c>
      <c r="B312">
        <v>101</v>
      </c>
      <c r="C312">
        <v>9036</v>
      </c>
      <c r="D312">
        <v>999</v>
      </c>
      <c r="E312">
        <v>1068</v>
      </c>
      <c r="F312">
        <v>31</v>
      </c>
      <c r="G312" s="22">
        <f>LineCount[[#This Row],[code]]+LineCount[[#This Row],[comments]]+LineCount[[#This Row],[blanks]]</f>
        <v>11103</v>
      </c>
      <c r="H312" s="23">
        <f t="shared" si="4"/>
        <v>109.93069306930693</v>
      </c>
    </row>
    <row r="313" spans="1:8" x14ac:dyDescent="0.2">
      <c r="A313" s="1">
        <v>45949</v>
      </c>
      <c r="B313">
        <v>101</v>
      </c>
      <c r="C313">
        <v>9039</v>
      </c>
      <c r="D313">
        <v>1000</v>
      </c>
      <c r="E313">
        <v>1069</v>
      </c>
      <c r="F313">
        <v>31</v>
      </c>
      <c r="G313" s="22">
        <f>LineCount[[#This Row],[code]]+LineCount[[#This Row],[comments]]+LineCount[[#This Row],[blanks]]</f>
        <v>11108</v>
      </c>
      <c r="H313" s="23">
        <f t="shared" si="4"/>
        <v>109.98019801980197</v>
      </c>
    </row>
    <row r="314" spans="1:8" x14ac:dyDescent="0.2">
      <c r="A314" s="1">
        <v>45954</v>
      </c>
      <c r="B314">
        <v>101</v>
      </c>
      <c r="C314">
        <v>9132</v>
      </c>
      <c r="D314">
        <v>997</v>
      </c>
      <c r="E314">
        <v>1033</v>
      </c>
      <c r="F314">
        <v>31</v>
      </c>
      <c r="G314" s="22">
        <f>LineCount[[#This Row],[code]]+LineCount[[#This Row],[comments]]+LineCount[[#This Row],[blanks]]</f>
        <v>11162</v>
      </c>
      <c r="H314" s="23">
        <f t="shared" si="4"/>
        <v>110.51485148514851</v>
      </c>
    </row>
    <row r="315" spans="1:8" x14ac:dyDescent="0.2">
      <c r="A315" s="1">
        <v>45965</v>
      </c>
      <c r="B315">
        <v>101</v>
      </c>
      <c r="C315">
        <v>9132</v>
      </c>
      <c r="D315">
        <v>997</v>
      </c>
      <c r="E315">
        <v>1033</v>
      </c>
      <c r="F315">
        <v>31</v>
      </c>
      <c r="G315" s="22">
        <f>LineCount[[#This Row],[code]]+LineCount[[#This Row],[comments]]+LineCount[[#This Row],[blanks]]</f>
        <v>11162</v>
      </c>
      <c r="H315" s="23">
        <f t="shared" si="4"/>
        <v>110.51485148514851</v>
      </c>
    </row>
    <row r="316" spans="1:8" x14ac:dyDescent="0.2">
      <c r="A316" s="1">
        <v>45972</v>
      </c>
      <c r="B316">
        <v>103</v>
      </c>
      <c r="C316">
        <v>9236</v>
      </c>
      <c r="D316">
        <v>1011</v>
      </c>
      <c r="E316">
        <v>1056</v>
      </c>
      <c r="F316">
        <v>31</v>
      </c>
      <c r="G316" s="22">
        <f>LineCount[[#This Row],[code]]+LineCount[[#This Row],[comments]]+LineCount[[#This Row],[blanks]]</f>
        <v>11303</v>
      </c>
      <c r="H316" s="23">
        <f t="shared" si="4"/>
        <v>109.7378640776699</v>
      </c>
    </row>
    <row r="317" spans="1:8" x14ac:dyDescent="0.2">
      <c r="A317" s="1">
        <v>45973</v>
      </c>
      <c r="B317">
        <v>103</v>
      </c>
      <c r="C317">
        <v>9232</v>
      </c>
      <c r="D317">
        <v>1012</v>
      </c>
      <c r="E317">
        <v>1060</v>
      </c>
      <c r="F317">
        <v>31</v>
      </c>
      <c r="G317" s="22">
        <f>LineCount[[#This Row],[code]]+LineCount[[#This Row],[comments]]+LineCount[[#This Row],[blanks]]</f>
        <v>11304</v>
      </c>
      <c r="H317" s="23">
        <f t="shared" si="4"/>
        <v>109.74757281553399</v>
      </c>
    </row>
    <row r="318" spans="1:8" x14ac:dyDescent="0.2">
      <c r="A318" s="1">
        <v>45975</v>
      </c>
      <c r="B318">
        <v>103</v>
      </c>
      <c r="C318">
        <v>9263</v>
      </c>
      <c r="D318">
        <v>1032</v>
      </c>
      <c r="E318">
        <v>1065</v>
      </c>
      <c r="F318">
        <v>31</v>
      </c>
      <c r="G318" s="22">
        <f>LineCount[[#This Row],[code]]+LineCount[[#This Row],[comments]]+LineCount[[#This Row],[blanks]]</f>
        <v>11360</v>
      </c>
      <c r="H318" s="23">
        <f t="shared" si="4"/>
        <v>110.29126213592232</v>
      </c>
    </row>
    <row r="319" spans="1:8" x14ac:dyDescent="0.2">
      <c r="A319" s="1">
        <v>45976</v>
      </c>
      <c r="B319">
        <v>104</v>
      </c>
      <c r="C319">
        <v>9315</v>
      </c>
      <c r="D319">
        <v>1051</v>
      </c>
      <c r="E319">
        <v>1071</v>
      </c>
      <c r="F319">
        <v>31</v>
      </c>
      <c r="G319" s="22">
        <f>LineCount[[#This Row],[code]]+LineCount[[#This Row],[comments]]+LineCount[[#This Row],[blanks]]</f>
        <v>11437</v>
      </c>
      <c r="H319" s="23">
        <f t="shared" si="4"/>
        <v>109.97115384615384</v>
      </c>
    </row>
    <row r="320" spans="1:8" x14ac:dyDescent="0.2">
      <c r="A320" s="1">
        <v>45989</v>
      </c>
      <c r="B320">
        <v>104</v>
      </c>
      <c r="C320">
        <v>9340</v>
      </c>
      <c r="D320">
        <v>1082</v>
      </c>
      <c r="E320">
        <v>1096</v>
      </c>
      <c r="F320">
        <v>31</v>
      </c>
      <c r="G320" s="22">
        <f>LineCount[[#This Row],[code]]+LineCount[[#This Row],[comments]]+LineCount[[#This Row],[blanks]]</f>
        <v>11518</v>
      </c>
      <c r="H320" s="23">
        <f t="shared" si="4"/>
        <v>110.75</v>
      </c>
    </row>
    <row r="321" spans="1:8" x14ac:dyDescent="0.2">
      <c r="A321" s="1">
        <v>46004</v>
      </c>
      <c r="B321">
        <v>108</v>
      </c>
      <c r="C321">
        <v>9402</v>
      </c>
      <c r="D321">
        <v>1110</v>
      </c>
      <c r="E321">
        <v>1106</v>
      </c>
      <c r="F321">
        <v>31</v>
      </c>
      <c r="G321" s="22">
        <f>LineCount[[#This Row],[code]]+LineCount[[#This Row],[comments]]+LineCount[[#This Row],[blanks]]</f>
        <v>11618</v>
      </c>
      <c r="H321" s="23">
        <f t="shared" si="4"/>
        <v>107.57407407407408</v>
      </c>
    </row>
    <row r="322" spans="1:8" x14ac:dyDescent="0.2">
      <c r="A322" s="1">
        <v>46012</v>
      </c>
      <c r="B322">
        <v>109</v>
      </c>
      <c r="C322">
        <v>9460</v>
      </c>
      <c r="D322">
        <v>1117</v>
      </c>
      <c r="E322">
        <v>1118</v>
      </c>
      <c r="F322">
        <v>31</v>
      </c>
      <c r="G322" s="22">
        <f>LineCount[[#This Row],[code]]+LineCount[[#This Row],[comments]]+LineCount[[#This Row],[blanks]]</f>
        <v>11695</v>
      </c>
      <c r="H322" s="23">
        <f t="shared" ref="H322:H385" si="5">G322/B322</f>
        <v>107.29357798165138</v>
      </c>
    </row>
    <row r="323" spans="1:8" x14ac:dyDescent="0.2">
      <c r="A323" s="1">
        <v>46015</v>
      </c>
      <c r="B323">
        <v>111</v>
      </c>
      <c r="C323">
        <v>9701</v>
      </c>
      <c r="D323">
        <v>1150</v>
      </c>
      <c r="E323">
        <v>1150</v>
      </c>
      <c r="F323">
        <v>31</v>
      </c>
      <c r="G323" s="22">
        <f>LineCount[[#This Row],[code]]+LineCount[[#This Row],[comments]]+LineCount[[#This Row],[blanks]]</f>
        <v>12001</v>
      </c>
      <c r="H323" s="23">
        <f t="shared" si="5"/>
        <v>108.11711711711712</v>
      </c>
    </row>
    <row r="324" spans="1:8" x14ac:dyDescent="0.2">
      <c r="A324" s="1">
        <v>46016</v>
      </c>
      <c r="B324">
        <v>112</v>
      </c>
      <c r="C324">
        <v>9942</v>
      </c>
      <c r="D324">
        <v>1160</v>
      </c>
      <c r="E324">
        <v>1158</v>
      </c>
      <c r="F324">
        <v>31</v>
      </c>
      <c r="G324" s="22">
        <f>LineCount[[#This Row],[code]]+LineCount[[#This Row],[comments]]+LineCount[[#This Row],[blanks]]</f>
        <v>12260</v>
      </c>
      <c r="H324" s="23">
        <f t="shared" si="5"/>
        <v>109.46428571428571</v>
      </c>
    </row>
    <row r="325" spans="1:8" x14ac:dyDescent="0.2">
      <c r="A325" s="1">
        <v>46019</v>
      </c>
      <c r="B325">
        <v>112</v>
      </c>
      <c r="C325">
        <v>10000</v>
      </c>
      <c r="D325">
        <v>1167</v>
      </c>
      <c r="E325">
        <v>1167</v>
      </c>
      <c r="F325">
        <v>31</v>
      </c>
      <c r="G325" s="22">
        <f>LineCount[[#This Row],[code]]+LineCount[[#This Row],[comments]]+LineCount[[#This Row],[blanks]]</f>
        <v>12334</v>
      </c>
      <c r="H325" s="23">
        <f t="shared" si="5"/>
        <v>110.125</v>
      </c>
    </row>
    <row r="326" spans="1:8" x14ac:dyDescent="0.2">
      <c r="A326" s="1">
        <v>46025</v>
      </c>
      <c r="B326">
        <v>112</v>
      </c>
      <c r="C326">
        <v>10069</v>
      </c>
      <c r="D326">
        <v>1209</v>
      </c>
      <c r="E326">
        <v>1174</v>
      </c>
      <c r="F326">
        <v>31</v>
      </c>
      <c r="G326" s="22">
        <f>LineCount[[#This Row],[code]]+LineCount[[#This Row],[comments]]+LineCount[[#This Row],[blanks]]</f>
        <v>12452</v>
      </c>
      <c r="H326" s="23">
        <f t="shared" si="5"/>
        <v>111.17857142857143</v>
      </c>
    </row>
    <row r="327" spans="1:8" x14ac:dyDescent="0.2">
      <c r="A327" s="1">
        <v>46026</v>
      </c>
      <c r="B327">
        <v>113</v>
      </c>
      <c r="C327">
        <v>10054</v>
      </c>
      <c r="D327">
        <v>1214</v>
      </c>
      <c r="E327">
        <v>1177</v>
      </c>
      <c r="F327">
        <v>31</v>
      </c>
      <c r="G327" s="22">
        <f>LineCount[[#This Row],[code]]+LineCount[[#This Row],[comments]]+LineCount[[#This Row],[blanks]]</f>
        <v>12445</v>
      </c>
      <c r="H327" s="23">
        <f t="shared" si="5"/>
        <v>110.13274336283186</v>
      </c>
    </row>
    <row r="328" spans="1:8" x14ac:dyDescent="0.2">
      <c r="A328" s="1">
        <v>46028</v>
      </c>
      <c r="B328">
        <v>114</v>
      </c>
      <c r="C328">
        <v>10089</v>
      </c>
      <c r="D328">
        <v>1209</v>
      </c>
      <c r="E328">
        <v>1181</v>
      </c>
      <c r="F328">
        <v>31</v>
      </c>
      <c r="G328" s="22">
        <f>LineCount[[#This Row],[code]]+LineCount[[#This Row],[comments]]+LineCount[[#This Row],[blanks]]</f>
        <v>12479</v>
      </c>
      <c r="H328" s="23">
        <f t="shared" si="5"/>
        <v>109.46491228070175</v>
      </c>
    </row>
    <row r="329" spans="1:8" x14ac:dyDescent="0.2">
      <c r="A329" s="1">
        <v>46031</v>
      </c>
      <c r="B329">
        <v>115</v>
      </c>
      <c r="C329">
        <v>10185</v>
      </c>
      <c r="D329">
        <v>1223</v>
      </c>
      <c r="E329">
        <v>1203</v>
      </c>
      <c r="F329">
        <v>31</v>
      </c>
      <c r="G329" s="22">
        <f>LineCount[[#This Row],[code]]+LineCount[[#This Row],[comments]]+LineCount[[#This Row],[blanks]]</f>
        <v>12611</v>
      </c>
      <c r="H329" s="23">
        <f t="shared" si="5"/>
        <v>109.6608695652174</v>
      </c>
    </row>
    <row r="330" spans="1:8" x14ac:dyDescent="0.2">
      <c r="A330" s="1">
        <v>46032</v>
      </c>
      <c r="B330">
        <v>116</v>
      </c>
      <c r="C330">
        <v>10237</v>
      </c>
      <c r="D330">
        <v>1229</v>
      </c>
      <c r="E330">
        <v>1207</v>
      </c>
      <c r="F330">
        <v>31</v>
      </c>
      <c r="G330" s="22">
        <f>LineCount[[#This Row],[code]]+LineCount[[#This Row],[comments]]+LineCount[[#This Row],[blanks]]</f>
        <v>12673</v>
      </c>
      <c r="H330" s="23">
        <f t="shared" si="5"/>
        <v>109.25</v>
      </c>
    </row>
    <row r="331" spans="1:8" x14ac:dyDescent="0.2">
      <c r="A331" s="1">
        <v>46046</v>
      </c>
      <c r="B331">
        <v>117</v>
      </c>
      <c r="C331">
        <v>10292</v>
      </c>
      <c r="D331">
        <v>1236</v>
      </c>
      <c r="E331">
        <v>1218</v>
      </c>
      <c r="F331">
        <v>31</v>
      </c>
      <c r="G331" s="22">
        <f>LineCount[[#This Row],[code]]+LineCount[[#This Row],[comments]]+LineCount[[#This Row],[blanks]]</f>
        <v>12746</v>
      </c>
      <c r="H331" s="23">
        <f t="shared" si="5"/>
        <v>108.94017094017094</v>
      </c>
    </row>
    <row r="332" spans="1:8" x14ac:dyDescent="0.2">
      <c r="A332" s="1">
        <v>46052</v>
      </c>
      <c r="B332">
        <v>119</v>
      </c>
      <c r="C332">
        <v>10346</v>
      </c>
      <c r="D332">
        <v>1243</v>
      </c>
      <c r="E332">
        <v>1229</v>
      </c>
      <c r="F332">
        <v>31</v>
      </c>
      <c r="G332" s="22">
        <f>LineCount[[#This Row],[code]]+LineCount[[#This Row],[comments]]+LineCount[[#This Row],[blanks]]</f>
        <v>12818</v>
      </c>
      <c r="H332" s="23">
        <f t="shared" si="5"/>
        <v>107.71428571428571</v>
      </c>
    </row>
    <row r="333" spans="1:8" x14ac:dyDescent="0.2">
      <c r="A333" s="1">
        <v>46053</v>
      </c>
      <c r="B333">
        <v>119</v>
      </c>
      <c r="C333">
        <v>10387</v>
      </c>
      <c r="D333">
        <v>1243</v>
      </c>
      <c r="E333">
        <v>1229</v>
      </c>
      <c r="F333">
        <v>31</v>
      </c>
      <c r="G333" s="22">
        <f>LineCount[[#This Row],[code]]+LineCount[[#This Row],[comments]]+LineCount[[#This Row],[blanks]]</f>
        <v>12859</v>
      </c>
      <c r="H333" s="23">
        <f t="shared" si="5"/>
        <v>108.05882352941177</v>
      </c>
    </row>
    <row r="334" spans="1:8" x14ac:dyDescent="0.2">
      <c r="A334" s="1">
        <v>46055</v>
      </c>
      <c r="B334">
        <v>119</v>
      </c>
      <c r="C334">
        <v>10375</v>
      </c>
      <c r="D334">
        <v>1251</v>
      </c>
      <c r="E334">
        <v>1229</v>
      </c>
      <c r="F334">
        <v>31</v>
      </c>
      <c r="G334" s="22">
        <f>LineCount[[#This Row],[code]]+LineCount[[#This Row],[comments]]+LineCount[[#This Row],[blanks]]</f>
        <v>12855</v>
      </c>
      <c r="H334" s="23">
        <f t="shared" si="5"/>
        <v>108.02521008403362</v>
      </c>
    </row>
    <row r="335" spans="1:8" x14ac:dyDescent="0.2">
      <c r="A335" s="1">
        <v>46059</v>
      </c>
      <c r="B335">
        <v>120</v>
      </c>
      <c r="C335">
        <v>10492</v>
      </c>
      <c r="D335">
        <v>1276</v>
      </c>
      <c r="E335">
        <v>1261</v>
      </c>
      <c r="F335">
        <v>31</v>
      </c>
      <c r="G335" s="22">
        <f>LineCount[[#This Row],[code]]+LineCount[[#This Row],[comments]]+LineCount[[#This Row],[blanks]]</f>
        <v>13029</v>
      </c>
      <c r="H335" s="23">
        <f t="shared" si="5"/>
        <v>108.575</v>
      </c>
    </row>
    <row r="336" spans="1:8" x14ac:dyDescent="0.2">
      <c r="A336" s="1">
        <v>46067</v>
      </c>
      <c r="B336">
        <v>120</v>
      </c>
      <c r="C336">
        <v>10501</v>
      </c>
      <c r="D336">
        <v>1276</v>
      </c>
      <c r="E336">
        <v>1267</v>
      </c>
      <c r="F336">
        <v>31</v>
      </c>
      <c r="G336" s="22">
        <f>LineCount[[#This Row],[code]]+LineCount[[#This Row],[comments]]+LineCount[[#This Row],[blanks]]</f>
        <v>13044</v>
      </c>
      <c r="H336" s="23">
        <f t="shared" si="5"/>
        <v>108.7</v>
      </c>
    </row>
    <row r="337" spans="1:8" x14ac:dyDescent="0.2">
      <c r="A337" s="1">
        <v>46071</v>
      </c>
      <c r="B337">
        <v>119</v>
      </c>
      <c r="C337">
        <v>10467</v>
      </c>
      <c r="D337">
        <v>1284</v>
      </c>
      <c r="E337">
        <v>1265</v>
      </c>
      <c r="F337">
        <v>31</v>
      </c>
      <c r="G337" s="22">
        <f>LineCount[[#This Row],[code]]+LineCount[[#This Row],[comments]]+LineCount[[#This Row],[blanks]]</f>
        <v>13016</v>
      </c>
      <c r="H337" s="23">
        <f t="shared" si="5"/>
        <v>109.3781512605042</v>
      </c>
    </row>
    <row r="338" spans="1:8" x14ac:dyDescent="0.2">
      <c r="A338" s="1">
        <v>46096</v>
      </c>
      <c r="B338">
        <v>121</v>
      </c>
      <c r="C338">
        <v>10348</v>
      </c>
      <c r="D338">
        <v>1303</v>
      </c>
      <c r="E338">
        <v>1268</v>
      </c>
      <c r="F338">
        <v>31</v>
      </c>
      <c r="G338" s="22">
        <f>LineCount[[#This Row],[code]]+LineCount[[#This Row],[comments]]+LineCount[[#This Row],[blanks]]</f>
        <v>12919</v>
      </c>
      <c r="H338" s="23">
        <f t="shared" si="5"/>
        <v>106.76859504132231</v>
      </c>
    </row>
    <row r="339" spans="1:8" x14ac:dyDescent="0.2">
      <c r="A339" s="1">
        <v>46097</v>
      </c>
      <c r="B339">
        <v>125</v>
      </c>
      <c r="C339">
        <v>10433</v>
      </c>
      <c r="D339">
        <v>1327</v>
      </c>
      <c r="E339">
        <v>1285</v>
      </c>
      <c r="F339">
        <v>31</v>
      </c>
      <c r="G339" s="22">
        <f>LineCount[[#This Row],[code]]+LineCount[[#This Row],[comments]]+LineCount[[#This Row],[blanks]]</f>
        <v>13045</v>
      </c>
      <c r="H339" s="23">
        <f t="shared" si="5"/>
        <v>104.36</v>
      </c>
    </row>
    <row r="340" spans="1:8" x14ac:dyDescent="0.2">
      <c r="A340" s="1">
        <v>46100</v>
      </c>
      <c r="B340">
        <v>125</v>
      </c>
      <c r="C340">
        <v>10523</v>
      </c>
      <c r="D340">
        <v>1326</v>
      </c>
      <c r="E340">
        <v>1297</v>
      </c>
      <c r="F340">
        <v>31</v>
      </c>
      <c r="G340" s="22">
        <f>LineCount[[#This Row],[code]]+LineCount[[#This Row],[comments]]+LineCount[[#This Row],[blanks]]</f>
        <v>13146</v>
      </c>
      <c r="H340" s="23">
        <f t="shared" si="5"/>
        <v>105.16800000000001</v>
      </c>
    </row>
    <row r="341" spans="1:8" x14ac:dyDescent="0.2">
      <c r="A341" s="1">
        <v>46103</v>
      </c>
      <c r="B341">
        <v>126</v>
      </c>
      <c r="C341">
        <v>10511</v>
      </c>
      <c r="D341">
        <v>1331</v>
      </c>
      <c r="E341">
        <v>1300</v>
      </c>
      <c r="F341">
        <v>31</v>
      </c>
      <c r="G341" s="22">
        <f>LineCount[[#This Row],[code]]+LineCount[[#This Row],[comments]]+LineCount[[#This Row],[blanks]]</f>
        <v>13142</v>
      </c>
      <c r="H341" s="23">
        <f t="shared" si="5"/>
        <v>104.3015873015873</v>
      </c>
    </row>
    <row r="342" spans="1:8" x14ac:dyDescent="0.2">
      <c r="A342" s="1">
        <v>46105</v>
      </c>
      <c r="B342">
        <v>131</v>
      </c>
      <c r="C342">
        <v>10757</v>
      </c>
      <c r="D342">
        <v>1360</v>
      </c>
      <c r="E342">
        <v>1320</v>
      </c>
      <c r="F342">
        <v>31</v>
      </c>
      <c r="G342" s="22">
        <f>LineCount[[#This Row],[code]]+LineCount[[#This Row],[comments]]+LineCount[[#This Row],[blanks]]</f>
        <v>13437</v>
      </c>
      <c r="H342" s="23">
        <f t="shared" si="5"/>
        <v>102.57251908396947</v>
      </c>
    </row>
    <row r="343" spans="1:8" x14ac:dyDescent="0.2">
      <c r="A343" s="1">
        <v>46106</v>
      </c>
      <c r="B343">
        <v>133</v>
      </c>
      <c r="C343">
        <v>10812</v>
      </c>
      <c r="D343">
        <v>1371</v>
      </c>
      <c r="E343">
        <v>1335</v>
      </c>
      <c r="F343">
        <v>31</v>
      </c>
      <c r="G343" s="22">
        <f>LineCount[[#This Row],[code]]+LineCount[[#This Row],[comments]]+LineCount[[#This Row],[blanks]]</f>
        <v>13518</v>
      </c>
      <c r="H343" s="23">
        <f t="shared" si="5"/>
        <v>101.6390977443609</v>
      </c>
    </row>
    <row r="344" spans="1:8" x14ac:dyDescent="0.2">
      <c r="A344" s="1">
        <v>46107</v>
      </c>
      <c r="B344">
        <v>129</v>
      </c>
      <c r="C344">
        <v>10263</v>
      </c>
      <c r="D344">
        <v>1345</v>
      </c>
      <c r="E344">
        <v>1332</v>
      </c>
      <c r="F344">
        <v>31</v>
      </c>
      <c r="G344" s="22">
        <f>LineCount[[#This Row],[code]]+LineCount[[#This Row],[comments]]+LineCount[[#This Row],[blanks]]</f>
        <v>12940</v>
      </c>
      <c r="H344" s="23">
        <f t="shared" si="5"/>
        <v>100.31007751937985</v>
      </c>
    </row>
    <row r="345" spans="1:8" x14ac:dyDescent="0.2">
      <c r="A345" s="1">
        <v>46110</v>
      </c>
      <c r="B345">
        <v>129</v>
      </c>
      <c r="C345">
        <v>10381</v>
      </c>
      <c r="D345">
        <v>1368</v>
      </c>
      <c r="E345">
        <v>1344</v>
      </c>
      <c r="F345">
        <v>31</v>
      </c>
      <c r="G345" s="22">
        <f>LineCount[[#This Row],[code]]+LineCount[[#This Row],[comments]]+LineCount[[#This Row],[blanks]]</f>
        <v>13093</v>
      </c>
      <c r="H345" s="23">
        <f t="shared" si="5"/>
        <v>101.49612403100775</v>
      </c>
    </row>
    <row r="346" spans="1:8" x14ac:dyDescent="0.2">
      <c r="A346" s="1">
        <v>46113</v>
      </c>
      <c r="B346">
        <v>129</v>
      </c>
      <c r="C346">
        <v>10411</v>
      </c>
      <c r="D346">
        <v>1403</v>
      </c>
      <c r="E346">
        <v>1343</v>
      </c>
      <c r="F346">
        <v>31</v>
      </c>
      <c r="G346" s="22">
        <f>LineCount[[#This Row],[code]]+LineCount[[#This Row],[comments]]+LineCount[[#This Row],[blanks]]</f>
        <v>13157</v>
      </c>
      <c r="H346" s="23">
        <f t="shared" si="5"/>
        <v>101.99224806201551</v>
      </c>
    </row>
    <row r="347" spans="1:8" x14ac:dyDescent="0.2">
      <c r="A347" s="1">
        <v>46114</v>
      </c>
      <c r="B347">
        <v>130</v>
      </c>
      <c r="C347">
        <v>10428</v>
      </c>
      <c r="D347">
        <v>1423</v>
      </c>
      <c r="E347">
        <v>1355</v>
      </c>
      <c r="F347">
        <v>31</v>
      </c>
      <c r="G347" s="22">
        <f>LineCount[[#This Row],[code]]+LineCount[[#This Row],[comments]]+LineCount[[#This Row],[blanks]]</f>
        <v>13206</v>
      </c>
      <c r="H347" s="23">
        <f t="shared" si="5"/>
        <v>101.58461538461539</v>
      </c>
    </row>
    <row r="348" spans="1:8" x14ac:dyDescent="0.2">
      <c r="A348" s="1">
        <v>46115</v>
      </c>
      <c r="B348">
        <v>132</v>
      </c>
      <c r="C348">
        <v>10050</v>
      </c>
      <c r="D348">
        <v>1456</v>
      </c>
      <c r="E348">
        <v>1362</v>
      </c>
      <c r="F348">
        <v>31</v>
      </c>
      <c r="G348" s="22">
        <f>LineCount[[#This Row],[code]]+LineCount[[#This Row],[comments]]+LineCount[[#This Row],[blanks]]</f>
        <v>12868</v>
      </c>
      <c r="H348" s="23">
        <f t="shared" si="5"/>
        <v>97.484848484848484</v>
      </c>
    </row>
    <row r="349" spans="1:8" x14ac:dyDescent="0.2">
      <c r="A349" s="1">
        <v>46118</v>
      </c>
      <c r="B349">
        <v>132</v>
      </c>
      <c r="C349">
        <v>10105</v>
      </c>
      <c r="D349">
        <v>1499</v>
      </c>
      <c r="E349">
        <v>1398</v>
      </c>
      <c r="F349">
        <v>31</v>
      </c>
      <c r="G349" s="22">
        <f>LineCount[[#This Row],[code]]+LineCount[[#This Row],[comments]]+LineCount[[#This Row],[blanks]]</f>
        <v>13002</v>
      </c>
      <c r="H349" s="23">
        <f t="shared" si="5"/>
        <v>98.5</v>
      </c>
    </row>
    <row r="350" spans="1:8" x14ac:dyDescent="0.2">
      <c r="A350" s="1">
        <v>46120</v>
      </c>
      <c r="B350">
        <v>132</v>
      </c>
      <c r="C350">
        <v>10445</v>
      </c>
      <c r="D350">
        <v>1539</v>
      </c>
      <c r="E350">
        <v>1445</v>
      </c>
      <c r="F350">
        <v>31</v>
      </c>
      <c r="G350" s="22">
        <f>LineCount[[#This Row],[code]]+LineCount[[#This Row],[comments]]+LineCount[[#This Row],[blanks]]</f>
        <v>13429</v>
      </c>
      <c r="H350" s="23">
        <f t="shared" si="5"/>
        <v>101.73484848484848</v>
      </c>
    </row>
    <row r="351" spans="1:8" x14ac:dyDescent="0.2">
      <c r="A351" s="1">
        <v>46121</v>
      </c>
      <c r="B351">
        <v>132</v>
      </c>
      <c r="C351">
        <v>10553</v>
      </c>
      <c r="D351">
        <v>1541</v>
      </c>
      <c r="E351">
        <v>1451</v>
      </c>
      <c r="F351">
        <v>31</v>
      </c>
      <c r="G351" s="22">
        <f>LineCount[[#This Row],[code]]+LineCount[[#This Row],[comments]]+LineCount[[#This Row],[blanks]]</f>
        <v>13545</v>
      </c>
      <c r="H351" s="23">
        <f t="shared" si="5"/>
        <v>102.61363636363636</v>
      </c>
    </row>
    <row r="352" spans="1:8" x14ac:dyDescent="0.2">
      <c r="A352" s="1">
        <v>46125</v>
      </c>
      <c r="B352">
        <v>137</v>
      </c>
      <c r="C352">
        <v>10756</v>
      </c>
      <c r="D352">
        <v>1622</v>
      </c>
      <c r="E352">
        <v>1492</v>
      </c>
      <c r="F352">
        <v>31</v>
      </c>
      <c r="G352" s="22">
        <f>LineCount[[#This Row],[code]]+LineCount[[#This Row],[comments]]+LineCount[[#This Row],[blanks]]</f>
        <v>13870</v>
      </c>
      <c r="H352" s="23">
        <f t="shared" si="5"/>
        <v>101.24087591240875</v>
      </c>
    </row>
    <row r="353" spans="1:8" x14ac:dyDescent="0.2">
      <c r="A353" s="1">
        <v>46127</v>
      </c>
      <c r="B353">
        <v>135</v>
      </c>
      <c r="C353">
        <v>10490</v>
      </c>
      <c r="D353">
        <v>1588</v>
      </c>
      <c r="E353">
        <v>1479</v>
      </c>
      <c r="F353">
        <v>31</v>
      </c>
      <c r="G353" s="22">
        <f>LineCount[[#This Row],[code]]+LineCount[[#This Row],[comments]]+LineCount[[#This Row],[blanks]]</f>
        <v>13557</v>
      </c>
      <c r="H353" s="23">
        <f t="shared" si="5"/>
        <v>100.42222222222222</v>
      </c>
    </row>
    <row r="354" spans="1:8" x14ac:dyDescent="0.2">
      <c r="A354" s="1">
        <v>46141</v>
      </c>
      <c r="B354">
        <v>135</v>
      </c>
      <c r="C354">
        <v>10700</v>
      </c>
      <c r="D354">
        <v>1725</v>
      </c>
      <c r="E354">
        <v>1518</v>
      </c>
      <c r="F354">
        <v>32</v>
      </c>
      <c r="G354" s="22">
        <f>LineCount[[#This Row],[code]]+LineCount[[#This Row],[comments]]+LineCount[[#This Row],[blanks]]</f>
        <v>13943</v>
      </c>
      <c r="H354" s="23">
        <f t="shared" si="5"/>
        <v>103.28148148148148</v>
      </c>
    </row>
    <row r="355" spans="1:8" x14ac:dyDescent="0.2">
      <c r="A355" s="1">
        <v>46205</v>
      </c>
      <c r="B355">
        <v>143</v>
      </c>
      <c r="C355">
        <v>11185</v>
      </c>
      <c r="D355">
        <v>1971</v>
      </c>
      <c r="E355">
        <v>1650</v>
      </c>
      <c r="F355">
        <v>68</v>
      </c>
      <c r="G355" s="22">
        <f>LineCount[[#This Row],[code]]+LineCount[[#This Row],[comments]]+LineCount[[#This Row],[blanks]]</f>
        <v>14806</v>
      </c>
      <c r="H355" s="23">
        <f t="shared" si="5"/>
        <v>103.53846153846153</v>
      </c>
    </row>
    <row r="356" spans="1:8" x14ac:dyDescent="0.2">
      <c r="A356" s="1">
        <v>46206</v>
      </c>
      <c r="B356">
        <v>143</v>
      </c>
      <c r="C356">
        <v>11318</v>
      </c>
      <c r="D356">
        <v>2041</v>
      </c>
      <c r="E356">
        <v>1658</v>
      </c>
      <c r="F356">
        <v>68</v>
      </c>
      <c r="G356" s="22">
        <f>LineCount[[#This Row],[code]]+LineCount[[#This Row],[comments]]+LineCount[[#This Row],[blanks]]</f>
        <v>15017</v>
      </c>
      <c r="H356" s="23">
        <f t="shared" si="5"/>
        <v>105.01398601398601</v>
      </c>
    </row>
    <row r="357" spans="1:8" x14ac:dyDescent="0.2">
      <c r="A357" s="1">
        <v>46207</v>
      </c>
      <c r="B357">
        <v>144</v>
      </c>
      <c r="C357">
        <v>11404</v>
      </c>
      <c r="D357">
        <v>2082</v>
      </c>
      <c r="E357">
        <v>1688</v>
      </c>
      <c r="F357">
        <v>70</v>
      </c>
      <c r="G357" s="22">
        <f>LineCount[[#This Row],[code]]+LineCount[[#This Row],[comments]]+LineCount[[#This Row],[blanks]]</f>
        <v>15174</v>
      </c>
      <c r="H357" s="23">
        <f t="shared" si="5"/>
        <v>105.375</v>
      </c>
    </row>
    <row r="358" spans="1:8" x14ac:dyDescent="0.2">
      <c r="A358" s="1">
        <v>46213</v>
      </c>
      <c r="B358">
        <v>153</v>
      </c>
      <c r="C358">
        <v>11618</v>
      </c>
      <c r="D358">
        <v>2215</v>
      </c>
      <c r="E358">
        <v>1748</v>
      </c>
      <c r="F358">
        <v>70</v>
      </c>
      <c r="G358" s="22">
        <f>LineCount[[#This Row],[code]]+LineCount[[#This Row],[comments]]+LineCount[[#This Row],[blanks]]</f>
        <v>15581</v>
      </c>
      <c r="H358" s="23">
        <f t="shared" si="5"/>
        <v>101.83660130718954</v>
      </c>
    </row>
    <row r="359" spans="1:8" x14ac:dyDescent="0.2">
      <c r="A359" s="1">
        <v>46214</v>
      </c>
      <c r="B359">
        <v>152</v>
      </c>
      <c r="C359">
        <v>10952</v>
      </c>
      <c r="D359">
        <v>2514</v>
      </c>
      <c r="E359">
        <v>2115</v>
      </c>
      <c r="F359">
        <v>70</v>
      </c>
      <c r="G359" s="22">
        <f>LineCount[[#This Row],[code]]+LineCount[[#This Row],[comments]]+LineCount[[#This Row],[blanks]]</f>
        <v>15581</v>
      </c>
      <c r="H359" s="23">
        <f t="shared" si="5"/>
        <v>102.50657894736842</v>
      </c>
    </row>
    <row r="360" spans="1:8" x14ac:dyDescent="0.2">
      <c r="A360" s="1">
        <v>46215</v>
      </c>
      <c r="B360">
        <v>152</v>
      </c>
      <c r="C360">
        <v>10952</v>
      </c>
      <c r="D360">
        <v>2514</v>
      </c>
      <c r="E360">
        <v>2115</v>
      </c>
      <c r="F360">
        <v>70</v>
      </c>
      <c r="G360" s="22">
        <f>LineCount[[#This Row],[code]]+LineCount[[#This Row],[comments]]+LineCount[[#This Row],[blanks]]</f>
        <v>15581</v>
      </c>
      <c r="H360" s="23">
        <f t="shared" si="5"/>
        <v>102.50657894736842</v>
      </c>
    </row>
    <row r="361" spans="1:8" x14ac:dyDescent="0.2">
      <c r="A361" s="1">
        <v>46216</v>
      </c>
      <c r="B361">
        <v>152</v>
      </c>
      <c r="C361">
        <v>10959</v>
      </c>
      <c r="D361">
        <v>2514</v>
      </c>
      <c r="E361">
        <v>2115</v>
      </c>
      <c r="F361">
        <v>70</v>
      </c>
      <c r="G361" s="22">
        <f>LineCount[[#This Row],[code]]+LineCount[[#This Row],[comments]]+LineCount[[#This Row],[blanks]]</f>
        <v>15588</v>
      </c>
      <c r="H361" s="23">
        <f t="shared" si="5"/>
        <v>102.55263157894737</v>
      </c>
    </row>
    <row r="362" spans="1:8" x14ac:dyDescent="0.2">
      <c r="A362" s="1">
        <v>46218</v>
      </c>
      <c r="B362">
        <v>152</v>
      </c>
      <c r="C362">
        <v>10960</v>
      </c>
      <c r="D362">
        <v>2516</v>
      </c>
      <c r="E362">
        <v>2115</v>
      </c>
      <c r="F362">
        <v>70</v>
      </c>
      <c r="G362" s="22">
        <f>LineCount[[#This Row],[code]]+LineCount[[#This Row],[comments]]+LineCount[[#This Row],[blanks]]</f>
        <v>15591</v>
      </c>
      <c r="H362" s="23">
        <f t="shared" si="5"/>
        <v>102.57236842105263</v>
      </c>
    </row>
    <row r="363" spans="1:8" x14ac:dyDescent="0.2">
      <c r="A363" s="1">
        <v>46220</v>
      </c>
      <c r="B363">
        <v>158</v>
      </c>
      <c r="C363">
        <v>11247</v>
      </c>
      <c r="D363">
        <v>2675</v>
      </c>
      <c r="E363">
        <v>2176</v>
      </c>
      <c r="F363">
        <v>78</v>
      </c>
      <c r="G363" s="22">
        <f>LineCount[[#This Row],[code]]+LineCount[[#This Row],[comments]]+LineCount[[#This Row],[blanks]]</f>
        <v>16098</v>
      </c>
      <c r="H363" s="23">
        <f t="shared" si="5"/>
        <v>101.88607594936708</v>
      </c>
    </row>
    <row r="364" spans="1:8" x14ac:dyDescent="0.2">
      <c r="A364" s="1">
        <v>46221</v>
      </c>
      <c r="B364">
        <v>159</v>
      </c>
      <c r="C364">
        <v>11279</v>
      </c>
      <c r="D364">
        <v>2718</v>
      </c>
      <c r="E364">
        <v>2189</v>
      </c>
      <c r="F364">
        <v>78</v>
      </c>
      <c r="G364" s="22">
        <f>LineCount[[#This Row],[code]]+LineCount[[#This Row],[comments]]+LineCount[[#This Row],[blanks]]</f>
        <v>16186</v>
      </c>
      <c r="H364" s="23">
        <f t="shared" si="5"/>
        <v>101.79874213836477</v>
      </c>
    </row>
    <row r="365" spans="1:8" x14ac:dyDescent="0.2">
      <c r="A365" s="1">
        <v>46222</v>
      </c>
      <c r="B365">
        <v>159</v>
      </c>
      <c r="C365">
        <v>11279</v>
      </c>
      <c r="D365">
        <v>2718</v>
      </c>
      <c r="E365">
        <v>2189</v>
      </c>
      <c r="F365">
        <v>78</v>
      </c>
      <c r="G365" s="22">
        <f>LineCount[[#This Row],[code]]+LineCount[[#This Row],[comments]]+LineCount[[#This Row],[blanks]]</f>
        <v>16186</v>
      </c>
      <c r="H365" s="23">
        <f t="shared" si="5"/>
        <v>101.79874213836477</v>
      </c>
    </row>
    <row r="366" spans="1:8" x14ac:dyDescent="0.2">
      <c r="A366" s="1">
        <v>46223</v>
      </c>
      <c r="B366">
        <v>160</v>
      </c>
      <c r="C366">
        <v>11307</v>
      </c>
      <c r="D366">
        <v>2726</v>
      </c>
      <c r="E366">
        <v>2198</v>
      </c>
      <c r="F366">
        <v>82</v>
      </c>
      <c r="G366" s="22">
        <f>LineCount[[#This Row],[code]]+LineCount[[#This Row],[comments]]+LineCount[[#This Row],[blanks]]</f>
        <v>16231</v>
      </c>
      <c r="H366" s="23">
        <f t="shared" si="5"/>
        <v>101.44374999999999</v>
      </c>
    </row>
    <row r="367" spans="1:8" x14ac:dyDescent="0.2">
      <c r="A367" s="1">
        <v>46224</v>
      </c>
      <c r="B367">
        <v>160</v>
      </c>
      <c r="C367">
        <v>11307</v>
      </c>
      <c r="D367">
        <v>2726</v>
      </c>
      <c r="E367">
        <v>2198</v>
      </c>
      <c r="F367">
        <v>82</v>
      </c>
      <c r="G367" s="22">
        <f>LineCount[[#This Row],[code]]+LineCount[[#This Row],[comments]]+LineCount[[#This Row],[blanks]]</f>
        <v>16231</v>
      </c>
      <c r="H367" s="23">
        <f t="shared" si="5"/>
        <v>101.44374999999999</v>
      </c>
    </row>
  </sheetData>
  <conditionalFormatting sqref="H1:H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9"/>
  <sheetViews>
    <sheetView workbookViewId="0">
      <pane xSplit="1" ySplit="2" topLeftCell="B343" activePane="bottomRight" state="frozen"/>
      <selection pane="topRight" activeCell="B1" sqref="B1"/>
      <selection pane="bottomLeft" activeCell="A3" sqref="A3"/>
      <selection pane="bottomRight" activeCell="Q395" sqref="Q395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4" t="s">
        <v>4</v>
      </c>
      <c r="C1" s="25"/>
      <c r="D1" s="25"/>
      <c r="E1" s="25"/>
      <c r="F1" s="26"/>
      <c r="G1" s="24" t="s">
        <v>5</v>
      </c>
      <c r="H1" s="25"/>
      <c r="I1" s="25"/>
      <c r="J1" s="25"/>
      <c r="K1" s="26"/>
      <c r="L1" s="24" t="s">
        <v>8</v>
      </c>
      <c r="M1" s="25"/>
      <c r="N1" s="25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:H357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si="546"/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46205</v>
      </c>
      <c r="B356" s="2">
        <v>9</v>
      </c>
      <c r="C356">
        <f t="shared" ref="C356" si="548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f t="shared" si="546"/>
        <v>14806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  <row r="357" spans="1:15" x14ac:dyDescent="0.2">
      <c r="A357" s="1">
        <v>46206</v>
      </c>
      <c r="B357" s="2">
        <v>9</v>
      </c>
      <c r="C357">
        <f t="shared" ref="C357" si="549">SUM(D357:F357)</f>
        <v>1673</v>
      </c>
      <c r="D357">
        <v>1105</v>
      </c>
      <c r="E357">
        <v>371</v>
      </c>
      <c r="F357" s="3">
        <v>197</v>
      </c>
      <c r="G357" s="4">
        <v>143</v>
      </c>
      <c r="H357" s="16">
        <f t="shared" si="546"/>
        <v>15017</v>
      </c>
      <c r="I357" s="5">
        <v>11318</v>
      </c>
      <c r="J357" s="6">
        <v>2041</v>
      </c>
      <c r="K357" s="7">
        <v>1658</v>
      </c>
      <c r="L357" s="19"/>
      <c r="M357" s="19"/>
      <c r="N357" s="19"/>
      <c r="O357">
        <v>68</v>
      </c>
    </row>
    <row r="358" spans="1:15" x14ac:dyDescent="0.2">
      <c r="A358" s="1">
        <v>46207</v>
      </c>
      <c r="B358" s="2">
        <v>9</v>
      </c>
      <c r="C358">
        <f t="shared" ref="C358" si="550">SUM(D358:F358)</f>
        <v>1673</v>
      </c>
      <c r="D358">
        <v>1105</v>
      </c>
      <c r="E358">
        <v>371</v>
      </c>
      <c r="F358" s="3">
        <v>197</v>
      </c>
      <c r="G358" s="4">
        <v>144</v>
      </c>
      <c r="H358" s="16">
        <f t="shared" ref="H358" si="551">SUM(I358:K358)</f>
        <v>15174</v>
      </c>
      <c r="I358" s="5">
        <v>11404</v>
      </c>
      <c r="J358" s="6">
        <v>2082</v>
      </c>
      <c r="K358" s="7">
        <v>1688</v>
      </c>
      <c r="L358" s="19"/>
      <c r="M358" s="19"/>
      <c r="N358" s="19"/>
      <c r="O358">
        <v>70</v>
      </c>
    </row>
    <row r="359" spans="1:15" x14ac:dyDescent="0.2">
      <c r="A359" s="1">
        <v>46213</v>
      </c>
      <c r="B359" s="2">
        <v>9</v>
      </c>
      <c r="C359">
        <f t="shared" ref="C359" si="552">SUM(D359:F359)</f>
        <v>1673</v>
      </c>
      <c r="D359">
        <v>1105</v>
      </c>
      <c r="E359">
        <v>371</v>
      </c>
      <c r="F359" s="3">
        <v>197</v>
      </c>
      <c r="G359" s="4">
        <v>153</v>
      </c>
      <c r="H359" s="16">
        <f t="shared" ref="H359" si="553">SUM(I359:K359)</f>
        <v>15581</v>
      </c>
      <c r="I359" s="5">
        <v>11618</v>
      </c>
      <c r="J359" s="6">
        <v>2215</v>
      </c>
      <c r="K359" s="7">
        <v>1748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C21" sqref="AC2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E320E4-B27E-1345-B316-49F3F8FD70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New LoC Graph</vt:lpstr>
      <vt:lpstr>LineCount</vt:lpstr>
      <vt:lpstr>OriginalTable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2026-07-21T20:57:59Z</dcterms:modified>
</cp:coreProperties>
</file>
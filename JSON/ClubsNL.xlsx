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sktop/"/>
    </mc:Choice>
  </mc:AlternateContent>
  <xr:revisionPtr revIDLastSave="0" documentId="13_ncr:1_{D0835950-2DC9-2C49-911E-756652B3F199}" xr6:coauthVersionLast="47" xr6:coauthVersionMax="47" xr10:uidLastSave="{00000000-0000-0000-0000-000000000000}"/>
  <bookViews>
    <workbookView xWindow="0" yWindow="0" windowWidth="51200" windowHeight="288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8" i="1"/>
  <c r="C47" i="1"/>
  <c r="F47" i="1"/>
  <c r="E47" i="1"/>
  <c r="D42" i="1"/>
  <c r="D43" i="1"/>
  <c r="D44" i="1"/>
  <c r="G43" i="1"/>
  <c r="G45" i="1"/>
  <c r="G44" i="1"/>
  <c r="D45" i="1"/>
  <c r="D38" i="1"/>
  <c r="C38" i="1"/>
  <c r="C39" i="1" s="1"/>
  <c r="J38" i="1"/>
  <c r="D47" i="1" l="1"/>
  <c r="C48" i="1" s="1"/>
</calcChain>
</file>

<file path=xl/sharedStrings.xml><?xml version="1.0" encoding="utf-8"?>
<sst xmlns="http://schemas.openxmlformats.org/spreadsheetml/2006/main" count="220" uniqueCount="95">
  <si>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</si>
  <si>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</si>
  <si>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</si>
  <si>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</si>
  <si>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</si>
  <si>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</si>
  <si>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</si>
  <si>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</si>
  <si>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persoonlijk16</t>
  </si>
  <si>
    <t>persoonlijk03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</si>
  <si>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</si>
  <si>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</si>
  <si>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</si>
  <si>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</si>
  <si>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</si>
  <si>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</si>
  <si>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</si>
  <si>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</si>
  <si>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</si>
  <si>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</si>
  <si>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</si>
  <si>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</si>
  <si>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leden lijst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</si>
  <si>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</si>
  <si>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</si>
  <si>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</si>
  <si>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</si>
  <si>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</si>
  <si>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</si>
  <si>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</si>
  <si>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</si>
  <si>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</si>
  <si>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</si>
  <si>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</si>
  <si>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</si>
  <si>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</si>
  <si>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</si>
  <si>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</si>
  <si>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</si>
  <si>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</si>
  <si>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</si>
  <si>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</si>
  <si>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</si>
  <si>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</si>
  <si>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fccSchot71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</si>
  <si>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</si>
  <si>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</si>
  <si>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</si>
  <si>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</si>
  <si>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</si>
  <si>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</si>
  <si>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</si>
  <si>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</si>
  <si>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</si>
  <si>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</si>
  <si>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</si>
  <si>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</si>
  <si>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</si>
  <si>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</si>
  <si>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</si>
  <si>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</si>
  <si>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</si>
  <si>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</si>
  <si>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moet nog starten met Level 2 bestand.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</si>
  <si>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</si>
  <si>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</si>
  <si>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</si>
  <si>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</si>
  <si>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</si>
  <si>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</si>
  <si>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</si>
  <si>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</si>
  <si>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</si>
  <si>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</si>
  <si>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</si>
  <si>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</si>
  <si>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</si>
  <si>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</si>
  <si>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</si>
  <si>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</si>
  <si>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>Dick Mandemaker</t>
  </si>
  <si>
    <t>lege Level2 bestand klaargezet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</si>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</sst>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7" totalsRowShown="0" headerRowDxfId="23" headerRowCellStyle="Comma">
  <autoFilter ref="A22:N37" xr:uid="{7BFB9A37-6C77-C04D-823C-1F22CEC41A47}"/>
  <sortState xmlns:xlrd2="http://schemas.microsoft.com/office/spreadsheetml/2017/richdata2" ref="A23:N37">
    <sortCondition descending="1" ref="D22:D37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1:I45" totalsRowShown="0" headerRowDxfId="8">
  <autoFilter ref="A41:I45" xr:uid="{64122FD9-0012-974E-8524-BD3E0FFEF173}"/>
  <sortState xmlns:xlrd2="http://schemas.microsoft.com/office/spreadsheetml/2017/richdata2" ref="A42:I45">
    <sortCondition descending="1" ref="E41:E45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49"/>
  <sheetViews>
    <sheetView tabSelected="1" topLeftCell="A3" zoomScale="141" workbookViewId="0">
      <selection activeCell="C32" sqref="C32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4" s="1" customFormat="1">
      <c r="A1" s="1" t="s">
        <v>46</v>
      </c>
    </row>
    <row r="3" spans="1:4" s="36" customFormat="1">
      <c r="B3" s="37" t="s">
        <v>77</v>
      </c>
      <c r="C3" s="37" t="s">
        <v>76</v>
      </c>
      <c r="D3" s="37" t="s">
        <v>78</v>
      </c>
    </row>
    <row r="4" spans="1:4">
      <c r="B4" t="s">
        <v>10</v>
      </c>
      <c r="C4">
        <v>0</v>
      </c>
      <c r="D4" t="s">
        <v>35</v>
      </c>
    </row>
    <row r="5" spans="1:4">
      <c r="B5" t="s">
        <v>10</v>
      </c>
      <c r="C5">
        <v>0</v>
      </c>
      <c r="D5" t="s">
        <v>36</v>
      </c>
    </row>
    <row r="6" spans="1:4">
      <c r="B6" t="s">
        <v>17</v>
      </c>
      <c r="C6">
        <v>10</v>
      </c>
      <c r="D6" t="s">
        <v>39</v>
      </c>
    </row>
    <row r="7" spans="1:4">
      <c r="B7" t="s">
        <v>61</v>
      </c>
      <c r="C7">
        <v>79</v>
      </c>
      <c r="D7" t="s">
        <v>40</v>
      </c>
    </row>
    <row r="8" spans="1:4">
      <c r="B8" t="s">
        <v>10</v>
      </c>
      <c r="C8">
        <v>2</v>
      </c>
      <c r="D8" t="s">
        <v>37</v>
      </c>
    </row>
    <row r="9" spans="1:4">
      <c r="B9" t="s">
        <v>10</v>
      </c>
      <c r="C9">
        <v>13</v>
      </c>
      <c r="D9" t="s">
        <v>75</v>
      </c>
    </row>
    <row r="10" spans="1:4">
      <c r="B10" t="s">
        <v>10</v>
      </c>
      <c r="C10">
        <v>3</v>
      </c>
      <c r="D10" t="s">
        <v>82</v>
      </c>
    </row>
    <row r="11" spans="1:4">
      <c r="B11" t="s">
        <v>10</v>
      </c>
      <c r="C11">
        <v>3</v>
      </c>
      <c r="D11" t="s">
        <v>83</v>
      </c>
    </row>
    <row r="12" spans="1:4">
      <c r="B12" t="s">
        <v>10</v>
      </c>
      <c r="C12">
        <v>2</v>
      </c>
      <c r="D12" t="s">
        <v>84</v>
      </c>
    </row>
    <row r="13" spans="1:4">
      <c r="B13" t="s">
        <v>10</v>
      </c>
      <c r="C13">
        <v>2</v>
      </c>
      <c r="D13" t="s">
        <v>85</v>
      </c>
    </row>
    <row r="14" spans="1:4">
      <c r="B14" t="s">
        <v>10</v>
      </c>
      <c r="C14">
        <v>2</v>
      </c>
      <c r="D14" t="s">
        <v>38</v>
      </c>
    </row>
    <row r="15" spans="1:4">
      <c r="B15" t="s">
        <v>10</v>
      </c>
      <c r="C15">
        <v>10</v>
      </c>
      <c r="D15" t="s">
        <v>86</v>
      </c>
    </row>
    <row r="16" spans="1:4">
      <c r="B16" t="s">
        <v>10</v>
      </c>
      <c r="C16">
        <v>6</v>
      </c>
      <c r="D16" t="s">
        <v>87</v>
      </c>
    </row>
    <row r="18" spans="1:17">
      <c r="B18" t="s">
        <v>93</v>
      </c>
      <c r="C18">
        <f>SUM(C4:C17)</f>
        <v>132</v>
      </c>
    </row>
    <row r="19" spans="1:17">
      <c r="B19" t="s">
        <v>94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44" t="s">
        <v>92</v>
      </c>
      <c r="D21" s="42"/>
      <c r="E21" s="41" t="s">
        <v>48</v>
      </c>
      <c r="F21" s="42"/>
      <c r="G21" s="41" t="s">
        <v>49</v>
      </c>
      <c r="H21" s="43"/>
      <c r="I21" s="43"/>
      <c r="J21" s="43"/>
      <c r="K21" s="42"/>
      <c r="L21" s="38" t="s">
        <v>50</v>
      </c>
      <c r="M21"/>
      <c r="N21"/>
      <c r="O21"/>
      <c r="P21"/>
      <c r="Q21"/>
    </row>
    <row r="22" spans="1:17" s="6" customFormat="1">
      <c r="A22" s="6" t="s">
        <v>0</v>
      </c>
      <c r="B22" s="6" t="s">
        <v>67</v>
      </c>
      <c r="C22" s="20" t="s">
        <v>68</v>
      </c>
      <c r="D22" s="11" t="s">
        <v>69</v>
      </c>
      <c r="E22" s="10" t="s">
        <v>47</v>
      </c>
      <c r="F22" s="11" t="s">
        <v>58</v>
      </c>
      <c r="G22" s="10" t="s">
        <v>22</v>
      </c>
      <c r="H22" s="16" t="s">
        <v>32</v>
      </c>
      <c r="I22" s="17" t="s">
        <v>30</v>
      </c>
      <c r="J22" s="17" t="s">
        <v>57</v>
      </c>
      <c r="K22" s="11" t="s">
        <v>55</v>
      </c>
      <c r="L22" s="18" t="s">
        <v>23</v>
      </c>
      <c r="M22" s="8" t="s">
        <v>34</v>
      </c>
      <c r="N22" s="6" t="s">
        <v>33</v>
      </c>
      <c r="O22"/>
      <c r="P22"/>
      <c r="Q22"/>
    </row>
    <row r="23" spans="1:17" ht="20" customHeight="1">
      <c r="A23" s="4" t="s">
        <v>45</v>
      </c>
      <c r="B23" s="4" t="s">
        <v>19</v>
      </c>
      <c r="C23" s="22">
        <v>0</v>
      </c>
      <c r="D23" s="13">
        <v>35</v>
      </c>
      <c r="E23" s="12" t="s">
        <v>20</v>
      </c>
      <c r="F23" s="25" t="s">
        <v>20</v>
      </c>
      <c r="G23" s="12" t="s">
        <v>21</v>
      </c>
      <c r="H23" s="3" t="s">
        <v>21</v>
      </c>
      <c r="I23" s="3" t="s">
        <v>21</v>
      </c>
      <c r="J23" s="26" t="s">
        <v>21</v>
      </c>
      <c r="K23" s="25" t="s">
        <v>21</v>
      </c>
      <c r="L23" s="27" t="s">
        <v>21</v>
      </c>
      <c r="M23" s="5"/>
      <c r="N23" t="s">
        <v>51</v>
      </c>
    </row>
    <row r="24" spans="1:17" ht="20" customHeight="1">
      <c r="A24" t="s">
        <v>79</v>
      </c>
      <c r="B24" t="s">
        <v>80</v>
      </c>
      <c r="C24" s="24">
        <v>1</v>
      </c>
      <c r="D24" s="13">
        <v>35</v>
      </c>
      <c r="E24" s="12" t="s">
        <v>20</v>
      </c>
      <c r="F24" s="13" t="s">
        <v>20</v>
      </c>
      <c r="G24" s="12" t="s">
        <v>21</v>
      </c>
      <c r="H24" s="3" t="s">
        <v>21</v>
      </c>
      <c r="I24" s="3" t="s">
        <v>21</v>
      </c>
      <c r="J24" s="26" t="s">
        <v>21</v>
      </c>
      <c r="K24" s="25" t="s">
        <v>21</v>
      </c>
      <c r="L24" s="27" t="s">
        <v>21</v>
      </c>
      <c r="M24" s="26" t="s">
        <v>20</v>
      </c>
      <c r="N24" t="s">
        <v>81</v>
      </c>
    </row>
    <row r="25" spans="1:17" ht="20" customHeight="1">
      <c r="A25" t="s">
        <v>2</v>
      </c>
      <c r="B25" t="s">
        <v>11</v>
      </c>
      <c r="C25" s="24">
        <v>23</v>
      </c>
      <c r="D25" s="13">
        <v>22</v>
      </c>
      <c r="E25" s="12" t="s">
        <v>20</v>
      </c>
      <c r="F25" s="25" t="s">
        <v>20</v>
      </c>
      <c r="G25" s="12" t="s">
        <v>20</v>
      </c>
      <c r="H25" s="3" t="s">
        <v>31</v>
      </c>
      <c r="I25" s="3" t="s">
        <v>28</v>
      </c>
      <c r="J25" s="3">
        <v>7</v>
      </c>
      <c r="K25" s="25" t="s">
        <v>20</v>
      </c>
      <c r="L25" s="28" t="s">
        <v>20</v>
      </c>
      <c r="M25" s="3"/>
    </row>
    <row r="26" spans="1:17" ht="20" customHeight="1">
      <c r="A26" t="s">
        <v>1</v>
      </c>
      <c r="B26" t="s">
        <v>10</v>
      </c>
      <c r="C26" s="21">
        <v>22</v>
      </c>
      <c r="D26" s="13">
        <v>22</v>
      </c>
      <c r="E26" s="12" t="s">
        <v>20</v>
      </c>
      <c r="F26" s="13" t="s">
        <v>20</v>
      </c>
      <c r="G26" s="12" t="s">
        <v>20</v>
      </c>
      <c r="H26" s="3" t="s">
        <v>20</v>
      </c>
      <c r="I26" s="3" t="s">
        <v>20</v>
      </c>
      <c r="J26" s="3">
        <v>8</v>
      </c>
      <c r="K26" s="13" t="s">
        <v>20</v>
      </c>
      <c r="L26" s="28" t="s">
        <v>20</v>
      </c>
      <c r="M26" s="3" t="s">
        <v>20</v>
      </c>
      <c r="N26" s="30" t="s">
        <v>62</v>
      </c>
    </row>
    <row r="27" spans="1:17" ht="20" customHeight="1">
      <c r="A27" t="s">
        <v>5</v>
      </c>
      <c r="B27" t="s">
        <v>12</v>
      </c>
      <c r="C27" s="24">
        <v>18</v>
      </c>
      <c r="D27" s="13">
        <v>19</v>
      </c>
      <c r="E27" s="12" t="s">
        <v>20</v>
      </c>
      <c r="F27" s="13" t="s">
        <v>20</v>
      </c>
      <c r="G27" s="12" t="s">
        <v>20</v>
      </c>
      <c r="H27" s="3" t="s">
        <v>31</v>
      </c>
      <c r="I27" s="3" t="s">
        <v>31</v>
      </c>
      <c r="J27" s="29">
        <v>1</v>
      </c>
      <c r="K27" s="25" t="s">
        <v>20</v>
      </c>
      <c r="L27" s="28" t="s">
        <v>20</v>
      </c>
      <c r="M27" s="3"/>
    </row>
    <row r="28" spans="1:17" ht="20" customHeight="1">
      <c r="A28" t="s">
        <v>4</v>
      </c>
      <c r="B28" t="s">
        <v>13</v>
      </c>
      <c r="C28" s="24">
        <v>19</v>
      </c>
      <c r="D28" s="13">
        <v>18</v>
      </c>
      <c r="E28" s="12" t="s">
        <v>20</v>
      </c>
      <c r="F28" s="13" t="s">
        <v>20</v>
      </c>
      <c r="G28" s="12" t="s">
        <v>20</v>
      </c>
      <c r="H28" s="3" t="s">
        <v>28</v>
      </c>
      <c r="I28" s="3" t="s">
        <v>28</v>
      </c>
      <c r="J28" s="29">
        <v>3</v>
      </c>
      <c r="K28" s="25" t="s">
        <v>20</v>
      </c>
      <c r="L28" s="28" t="s">
        <v>28</v>
      </c>
      <c r="M28" s="3"/>
    </row>
    <row r="29" spans="1:17" ht="20" customHeight="1">
      <c r="A29" t="s">
        <v>6</v>
      </c>
      <c r="B29" t="s">
        <v>43</v>
      </c>
      <c r="C29" s="24">
        <v>19</v>
      </c>
      <c r="D29" s="13">
        <v>18</v>
      </c>
      <c r="E29" s="12" t="s">
        <v>20</v>
      </c>
      <c r="F29" s="25" t="s">
        <v>20</v>
      </c>
      <c r="G29" s="12" t="s">
        <v>20</v>
      </c>
      <c r="H29" s="3" t="s">
        <v>20</v>
      </c>
      <c r="I29" s="3" t="s">
        <v>20</v>
      </c>
      <c r="J29" s="29">
        <v>3</v>
      </c>
      <c r="K29" s="13" t="s">
        <v>20</v>
      </c>
      <c r="L29" s="28" t="s">
        <v>20</v>
      </c>
      <c r="M29" s="3"/>
    </row>
    <row r="30" spans="1:17" ht="20" customHeight="1">
      <c r="A30" t="s">
        <v>7</v>
      </c>
      <c r="B30" t="s">
        <v>15</v>
      </c>
      <c r="C30" s="24">
        <v>11</v>
      </c>
      <c r="D30" s="13">
        <v>17</v>
      </c>
      <c r="E30" s="12" t="s">
        <v>20</v>
      </c>
      <c r="F30" s="13" t="s">
        <v>20</v>
      </c>
      <c r="G30" s="12" t="s">
        <v>28</v>
      </c>
      <c r="H30" s="3" t="s">
        <v>31</v>
      </c>
      <c r="I30" s="3" t="s">
        <v>28</v>
      </c>
      <c r="J30" s="29">
        <v>0</v>
      </c>
      <c r="K30" s="25" t="s">
        <v>20</v>
      </c>
      <c r="L30" s="28" t="s">
        <v>28</v>
      </c>
      <c r="M30" s="26" t="s">
        <v>20</v>
      </c>
      <c r="N30" s="30" t="s">
        <v>60</v>
      </c>
    </row>
    <row r="31" spans="1:17" ht="20" customHeight="1">
      <c r="A31" t="s">
        <v>44</v>
      </c>
      <c r="B31" t="s">
        <v>18</v>
      </c>
      <c r="C31" s="24">
        <v>1</v>
      </c>
      <c r="D31" s="13">
        <v>16</v>
      </c>
      <c r="E31" s="12" t="s">
        <v>20</v>
      </c>
      <c r="F31" s="25" t="s">
        <v>20</v>
      </c>
      <c r="G31" s="12" t="s">
        <v>21</v>
      </c>
      <c r="H31" s="3" t="s">
        <v>21</v>
      </c>
      <c r="I31" s="3" t="s">
        <v>21</v>
      </c>
      <c r="J31" s="26" t="s">
        <v>21</v>
      </c>
      <c r="K31" s="25" t="s">
        <v>21</v>
      </c>
      <c r="L31" s="27" t="s">
        <v>21</v>
      </c>
      <c r="M31" s="3"/>
      <c r="N31" t="s">
        <v>63</v>
      </c>
    </row>
    <row r="32" spans="1:17" ht="20" customHeight="1">
      <c r="A32" t="s">
        <v>3</v>
      </c>
      <c r="B32" t="s">
        <v>14</v>
      </c>
      <c r="C32" s="21">
        <v>11</v>
      </c>
      <c r="D32" s="13">
        <v>11</v>
      </c>
      <c r="E32" s="12" t="s">
        <v>20</v>
      </c>
      <c r="F32" s="13" t="s">
        <v>20</v>
      </c>
      <c r="G32" s="12" t="s">
        <v>20</v>
      </c>
      <c r="H32" s="3" t="s">
        <v>20</v>
      </c>
      <c r="I32" s="3" t="s">
        <v>21</v>
      </c>
      <c r="J32" s="29">
        <v>0</v>
      </c>
      <c r="K32" s="25" t="s">
        <v>20</v>
      </c>
      <c r="L32" s="28" t="s">
        <v>21</v>
      </c>
      <c r="M32" s="3"/>
    </row>
    <row r="33" spans="1:13" ht="20" customHeight="1">
      <c r="A33" t="s">
        <v>8</v>
      </c>
      <c r="B33" t="s">
        <v>16</v>
      </c>
      <c r="C33" s="21">
        <v>10</v>
      </c>
      <c r="D33" s="13">
        <v>10</v>
      </c>
      <c r="E33" s="12" t="s">
        <v>20</v>
      </c>
      <c r="F33" s="23" t="s">
        <v>59</v>
      </c>
      <c r="G33" s="12" t="s">
        <v>20</v>
      </c>
      <c r="H33" s="3" t="s">
        <v>28</v>
      </c>
      <c r="I33" s="3" t="s">
        <v>31</v>
      </c>
      <c r="J33" s="3">
        <v>6</v>
      </c>
      <c r="K33" s="13" t="s">
        <v>56</v>
      </c>
      <c r="L33" s="28" t="s">
        <v>28</v>
      </c>
      <c r="M33" s="26" t="s">
        <v>20</v>
      </c>
    </row>
    <row r="34" spans="1:13" ht="20" customHeight="1">
      <c r="A34" s="4" t="s">
        <v>52</v>
      </c>
      <c r="B34" s="4" t="s">
        <v>10</v>
      </c>
      <c r="C34" s="22">
        <v>2</v>
      </c>
      <c r="D34" s="23">
        <v>2</v>
      </c>
      <c r="E34" s="12" t="s">
        <v>20</v>
      </c>
      <c r="F34" s="23" t="s">
        <v>54</v>
      </c>
      <c r="G34" s="12" t="s">
        <v>20</v>
      </c>
      <c r="H34" s="3" t="s">
        <v>20</v>
      </c>
      <c r="I34" s="5" t="s">
        <v>54</v>
      </c>
      <c r="J34" s="5" t="s">
        <v>54</v>
      </c>
      <c r="K34" s="23" t="s">
        <v>54</v>
      </c>
      <c r="L34" s="28" t="s">
        <v>20</v>
      </c>
      <c r="M34" s="26" t="s">
        <v>20</v>
      </c>
    </row>
    <row r="35" spans="1:13" ht="20" customHeight="1">
      <c r="A35" s="4" t="s">
        <v>53</v>
      </c>
      <c r="B35" s="4" t="s">
        <v>10</v>
      </c>
      <c r="C35" s="22">
        <v>2</v>
      </c>
      <c r="D35" s="23">
        <v>2</v>
      </c>
      <c r="E35" s="12" t="s">
        <v>20</v>
      </c>
      <c r="F35" s="13" t="s">
        <v>20</v>
      </c>
      <c r="G35" s="12" t="s">
        <v>20</v>
      </c>
      <c r="H35" s="3" t="s">
        <v>20</v>
      </c>
      <c r="I35" s="3" t="s">
        <v>20</v>
      </c>
      <c r="J35" s="3">
        <v>1</v>
      </c>
      <c r="K35" s="25" t="s">
        <v>20</v>
      </c>
      <c r="L35" s="28" t="s">
        <v>20</v>
      </c>
      <c r="M35" s="26" t="s">
        <v>20</v>
      </c>
    </row>
    <row r="36" spans="1:13" ht="20" customHeight="1">
      <c r="A36" t="s">
        <v>9</v>
      </c>
      <c r="B36" t="s">
        <v>17</v>
      </c>
      <c r="C36" s="24">
        <v>0</v>
      </c>
      <c r="D36" s="13">
        <v>1</v>
      </c>
      <c r="E36" s="12" t="s">
        <v>20</v>
      </c>
      <c r="F36" s="23" t="s">
        <v>59</v>
      </c>
      <c r="G36" s="12" t="s">
        <v>21</v>
      </c>
      <c r="H36" s="3" t="s">
        <v>21</v>
      </c>
      <c r="I36" s="3" t="s">
        <v>21</v>
      </c>
      <c r="J36" s="26" t="s">
        <v>21</v>
      </c>
      <c r="K36" s="25" t="s">
        <v>21</v>
      </c>
      <c r="L36" s="27" t="s">
        <v>21</v>
      </c>
      <c r="M36" s="3"/>
    </row>
    <row r="37" spans="1:13" ht="20" customHeight="1" thickBot="1">
      <c r="C37" s="21"/>
      <c r="D37" s="13"/>
      <c r="E37" s="12"/>
      <c r="F37" s="13"/>
      <c r="G37" s="12"/>
      <c r="H37" s="3"/>
      <c r="I37" s="3"/>
      <c r="J37" s="3"/>
      <c r="K37" s="13"/>
      <c r="L37" s="28"/>
      <c r="M37" s="3"/>
    </row>
    <row r="38" spans="1:13" ht="18" thickTop="1" thickBot="1">
      <c r="A38" t="s">
        <v>42</v>
      </c>
      <c r="C38" s="9">
        <f>SUM(C23:C33,C36)</f>
        <v>135</v>
      </c>
      <c r="D38" s="9">
        <f>SUM(D23:D33,D36)</f>
        <v>224</v>
      </c>
      <c r="E38" s="14"/>
      <c r="F38" s="15"/>
      <c r="G38" s="14"/>
      <c r="J38" s="9">
        <f>SUM(J23:J33,J36)</f>
        <v>28</v>
      </c>
      <c r="K38" s="15"/>
      <c r="L38" s="19"/>
    </row>
    <row r="39" spans="1:13" ht="18" thickTop="1" thickBot="1">
      <c r="A39" t="s">
        <v>89</v>
      </c>
      <c r="C39" s="40">
        <f>1 - C38/D38</f>
        <v>0.3973214285714286</v>
      </c>
    </row>
    <row r="40" spans="1:13" ht="17" thickTop="1">
      <c r="C40" s="3"/>
      <c r="D40" s="3"/>
      <c r="E40" s="3"/>
      <c r="F40" s="3"/>
    </row>
    <row r="41" spans="1:13">
      <c r="A41" t="s">
        <v>65</v>
      </c>
      <c r="B41" t="s">
        <v>67</v>
      </c>
      <c r="C41" s="3" t="s">
        <v>27</v>
      </c>
      <c r="D41" s="31" t="s">
        <v>64</v>
      </c>
      <c r="E41" s="3" t="s">
        <v>70</v>
      </c>
      <c r="F41" s="3" t="s">
        <v>71</v>
      </c>
      <c r="G41" s="3" t="s">
        <v>73</v>
      </c>
      <c r="H41" s="2" t="s">
        <v>66</v>
      </c>
      <c r="I41" s="3" t="s">
        <v>33</v>
      </c>
    </row>
    <row r="42" spans="1:13" ht="20" customHeight="1">
      <c r="A42" s="4" t="s">
        <v>41</v>
      </c>
      <c r="B42" s="4" t="s">
        <v>10</v>
      </c>
      <c r="C42" s="5">
        <v>2</v>
      </c>
      <c r="D42" s="5">
        <f>SUM(Table5[[#This Row],[Fotobond]:[nonFotobond]])</f>
        <v>2</v>
      </c>
      <c r="E42" s="5">
        <v>0</v>
      </c>
      <c r="F42" s="5">
        <v>2</v>
      </c>
      <c r="G42" s="33" t="s">
        <v>72</v>
      </c>
      <c r="H42" s="3" t="s">
        <v>31</v>
      </c>
      <c r="I42" s="3"/>
    </row>
    <row r="43" spans="1:13" ht="20" customHeight="1">
      <c r="A43" t="s">
        <v>25</v>
      </c>
      <c r="B43" t="s">
        <v>29</v>
      </c>
      <c r="C43" s="5">
        <v>0</v>
      </c>
      <c r="D43" s="3">
        <f>SUM(Table5[[#This Row],[Fotobond]:[nonFotobond]])</f>
        <v>31</v>
      </c>
      <c r="E43" s="3">
        <v>31</v>
      </c>
      <c r="F43" s="3" t="s">
        <v>88</v>
      </c>
      <c r="G43" s="32" t="e">
        <f>Table5[[#This Row],[Fotobond]]/(Table5[[#This Row],[Fotobond]]+Table5[[#This Row],[nonFotobond]])</f>
        <v>#VALUE!</v>
      </c>
    </row>
    <row r="44" spans="1:13" ht="20" customHeight="1">
      <c r="A44" t="s">
        <v>24</v>
      </c>
      <c r="B44" t="s">
        <v>61</v>
      </c>
      <c r="C44" s="3">
        <v>79</v>
      </c>
      <c r="D44" s="3">
        <f>SUM(Table5[[#This Row],[Fotobond]:[nonFotobond]])</f>
        <v>79</v>
      </c>
      <c r="E44" s="3">
        <v>29</v>
      </c>
      <c r="F44" s="3">
        <v>50</v>
      </c>
      <c r="G44" s="32">
        <f>Table5[[#This Row],[Fotobond]]/(Table5[[#This Row],[Fotobond]]+Table5[[#This Row],[nonFotobond]])</f>
        <v>0.36708860759493672</v>
      </c>
      <c r="H44" s="3" t="s">
        <v>31</v>
      </c>
      <c r="I44" s="3"/>
    </row>
    <row r="45" spans="1:13" ht="20" customHeight="1">
      <c r="A45" t="s">
        <v>26</v>
      </c>
      <c r="B45" t="s">
        <v>17</v>
      </c>
      <c r="C45" s="3">
        <v>10</v>
      </c>
      <c r="D45" s="3">
        <f>Table5[[#This Row],[Fotobond]]+Table5[[#This Row],[nonFotobond]]</f>
        <v>10</v>
      </c>
      <c r="E45" s="3">
        <v>6</v>
      </c>
      <c r="F45" s="3">
        <v>4</v>
      </c>
      <c r="G45" s="32">
        <f>Table5[[#This Row],[Fotobond]]/(Table5[[#This Row],[Fotobond]]+Table5[[#This Row],[nonFotobond]])</f>
        <v>0.6</v>
      </c>
      <c r="H45" s="3" t="s">
        <v>31</v>
      </c>
      <c r="I45" s="31" t="s">
        <v>74</v>
      </c>
    </row>
    <row r="46" spans="1:13" ht="17" thickBot="1">
      <c r="A46" s="4"/>
      <c r="B46" s="4"/>
      <c r="C46" s="5"/>
      <c r="D46" s="5"/>
      <c r="E46" s="5"/>
      <c r="F46" s="5"/>
      <c r="G46" s="3"/>
    </row>
    <row r="47" spans="1:13" ht="18" thickTop="1" thickBot="1">
      <c r="A47" t="s">
        <v>42</v>
      </c>
      <c r="C47" s="9">
        <f>SUM(C43:C45)</f>
        <v>89</v>
      </c>
      <c r="D47" s="9">
        <f>SUM(D43:D45)</f>
        <v>120</v>
      </c>
      <c r="E47" s="9">
        <f>SUM(E43:E45)</f>
        <v>66</v>
      </c>
      <c r="F47" s="9">
        <f>SUM(F43:F45)</f>
        <v>54</v>
      </c>
    </row>
    <row r="48" spans="1:13" ht="18" thickTop="1" thickBot="1">
      <c r="A48" t="s">
        <v>90</v>
      </c>
      <c r="C48" s="40">
        <f>1 - C47/D47</f>
        <v>0.2583333333333333</v>
      </c>
      <c r="I48" t="s">
        <v>91</v>
      </c>
    </row>
    <row r="49" ht="17" thickTop="1"/>
  </sheetData>
  <mergeCells count="3">
    <mergeCell ref="E21:F21"/>
    <mergeCell ref="G21:K21"/>
    <mergeCell ref="C21:D21"/>
  </mergeCells>
  <pageMargins left="0.7" right="0.7" top="0.75" bottom="0.75" header="0.3" footer="0.3"/>
  <pageSetup paperSize="9" scale="53" orientation="landscape" horizontalDpi="0" verticalDpi="0" copies="6"/>
  <ignoredErrors>
    <ignoredError sqref="C47" formulaRange="1"/>
  </ignoredErrors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0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0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0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0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0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0">
      <c r="A31" s="39"/>
    </row>
    <row r="32" spans="1:4">
      <c r="A32" s="35"/>
    </row>
    <row r="33" spans="1:1">
      <c r="A33" s="35"/>
    </row>
    <row r="34" spans="1:1" ht="20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2026-01-23T23:10:30Z</dcterms:modified>
</cp:coreProperties>
</file>
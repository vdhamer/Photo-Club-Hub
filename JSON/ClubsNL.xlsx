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EAC0C91F-7814-F541-89DC-6DD85B503E5E}" xr6:coauthVersionLast="47" xr6:coauthVersionMax="47" xr10:uidLastSave="{00000000-0000-0000-0000-000000000000}"/>
  <bookViews>
    <workbookView xWindow="0" yWindow="600" windowWidth="51200" windowHeight="264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4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<sst xmlns="http://schemas.openxmlformats.org/spreadsheetml/2006/main" count="231" uniqueCount="97">
  <si>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</si>
  <si>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</si>
  <si>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</si>
  <si>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</si>
  <si>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</si>
  <si>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</si>
  <si>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</si>
  <si>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</si>
  <si>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</si>
  <si>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</si>
  <si>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</si>
  <si>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</si>
  <si>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</si>
  <si>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</si>
  <si>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</si>
  <si>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</si>
  <si>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</si>
  <si>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</si>
  <si>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</si>
  <si>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</si>
  <si>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</si>
  <si>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</si>
  <si>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</si>
  <si>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</si>
  <si>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</si>
  <si>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</si>
  <si>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</si>
  <si>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</si>
  <si>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</si>
  <si>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</si>
  <si>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</si>
  <si>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</si>
  <si>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</si>
  <si>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</si>
  <si>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</si>
  <si>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</si>
  <si>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</si>
  <si>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</si>
  <si>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</si>
  <si>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</si>
  <si>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</si>
  <si>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</si>
  <si>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</si>
  <si>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</si>
  <si>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</si>
  <si>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</si>
  <si>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</si>
  <si>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</si>
  <si>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</si>
  <si>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</si>
  <si>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</si>
  <si>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</si>
  <si>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</si>
  <si>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</si>
  <si>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</si>
  <si>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</si>
  <si>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</si>
  <si>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</si>
  <si>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</si>
  <si>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</si>
  <si>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</si>
  <si>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</si>
  <si>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</si>
  <si>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</si>
  <si>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</si>
  <si>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</si>
  <si>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</si>
  <si>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</si>
  <si>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</si>
  <si>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</si>
  <si>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</si>
  <si>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</si>
  <si>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</si>
  <si>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</si>
  <si>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</si>
  <si>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</si>
  <si>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</si>
  <si>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</si>
  <si>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</si>
  <si>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</si>
  <si>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</si>
  <si>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</si>
  <si>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</si>
  <si>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</si>
  <si>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</si>
  <si>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</si>
  <si>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</si>
  <si>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</si>
  <si>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</si>
  <si>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</si>
  <si>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</si>
  <si>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</si>
  <si>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</si>
  <si>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</si>
  <si>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</si>
  <si>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</si>
  <si>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in ALV op 5Feb26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</si>
</sst>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2" zoomScale="141" workbookViewId="0">
      <selection activeCell="G51" sqref="G51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2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75</v>
      </c>
    </row>
    <row r="11" spans="1:7">
      <c r="B11" t="s">
        <v>8</v>
      </c>
      <c r="C11">
        <v>3</v>
      </c>
      <c r="D11" t="s">
        <v>76</v>
      </c>
    </row>
    <row r="12" spans="1:7">
      <c r="B12" t="s">
        <v>8</v>
      </c>
      <c r="C12">
        <v>2</v>
      </c>
      <c r="D12" t="s">
        <v>77</v>
      </c>
    </row>
    <row r="13" spans="1:7">
      <c r="B13" t="s">
        <v>8</v>
      </c>
      <c r="C13">
        <v>2</v>
      </c>
      <c r="D13" t="s">
        <v>78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79</v>
      </c>
    </row>
    <row r="16" spans="1:7">
      <c r="B16" t="s">
        <v>8</v>
      </c>
      <c r="C16">
        <v>6</v>
      </c>
      <c r="D16" t="s">
        <v>80</v>
      </c>
    </row>
    <row r="18" spans="1:17">
      <c r="B18" t="s">
        <v>86</v>
      </c>
      <c r="C18">
        <f>SUM(C4:C17)</f>
        <v>132</v>
      </c>
    </row>
    <row r="19" spans="1:17">
      <c r="B19" t="s">
        <v>87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85</v>
      </c>
      <c r="D21" s="48"/>
      <c r="E21" s="47" t="s">
        <v>44</v>
      </c>
      <c r="F21" s="48"/>
      <c r="G21" s="47" t="s">
        <v>45</v>
      </c>
      <c r="H21" s="49"/>
      <c r="I21" s="49"/>
      <c r="J21" s="49"/>
      <c r="K21" s="48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92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1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95</v>
      </c>
      <c r="C24" s="21">
        <v>28</v>
      </c>
      <c r="D24" s="13">
        <v>28</v>
      </c>
      <c r="E24" s="12" t="s">
        <v>18</v>
      </c>
      <c r="F24" s="13" t="s">
        <v>18</v>
      </c>
      <c r="G24" s="43" t="s">
        <v>18</v>
      </c>
      <c r="H24" s="3" t="s">
        <v>19</v>
      </c>
      <c r="I24" s="3" t="s">
        <v>19</v>
      </c>
      <c r="J24" s="26" t="s">
        <v>19</v>
      </c>
      <c r="K24" s="25" t="s">
        <v>19</v>
      </c>
      <c r="L24" s="27" t="s">
        <v>19</v>
      </c>
      <c r="M24" s="26" t="s">
        <v>18</v>
      </c>
      <c r="N24" t="s">
        <v>96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1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22</v>
      </c>
      <c r="D26" s="13">
        <v>22</v>
      </c>
      <c r="E26" s="12" t="s">
        <v>18</v>
      </c>
      <c r="F26" s="13" t="s">
        <v>18</v>
      </c>
      <c r="G26" s="41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1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1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1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1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91</v>
      </c>
      <c r="B31" s="35" t="s">
        <v>16</v>
      </c>
      <c r="C31" s="44">
        <v>1</v>
      </c>
      <c r="D31" s="45">
        <v>16</v>
      </c>
      <c r="E31" s="12" t="s">
        <v>18</v>
      </c>
      <c r="F31" s="45" t="s">
        <v>18</v>
      </c>
      <c r="G31" s="41" t="s">
        <v>25</v>
      </c>
      <c r="H31" s="43" t="s">
        <v>19</v>
      </c>
      <c r="I31" s="43" t="s">
        <v>19</v>
      </c>
      <c r="J31" s="43" t="s">
        <v>19</v>
      </c>
      <c r="K31" s="45" t="s">
        <v>19</v>
      </c>
      <c r="L31" s="46" t="s">
        <v>19</v>
      </c>
      <c r="M31" s="43"/>
      <c r="N31" s="35" t="s">
        <v>88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1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93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1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94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1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90</v>
      </c>
      <c r="B35" t="s">
        <v>89</v>
      </c>
      <c r="C35" s="24">
        <v>1</v>
      </c>
      <c r="D35" s="13">
        <v>14</v>
      </c>
      <c r="E35" s="12" t="s">
        <v>18</v>
      </c>
      <c r="F35" s="13" t="s">
        <v>18</v>
      </c>
      <c r="G35" s="41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88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1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1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168</v>
      </c>
      <c r="D39" s="9">
        <f>SUM(D23:D37)</f>
        <v>235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82</v>
      </c>
      <c r="C40" s="40">
        <f>1 - C39/D39</f>
        <v>0.28510638297872337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81</v>
      </c>
      <c r="G44" s="32" t="e">
        <f>Table5[[#This Row],[Fotobond]]/(Table5[[#This Row],[Fotobond]]+Table5[[#This Row],[nonFotobond]])</f>
        <v>#VALUE!</v>
      </c>
    </row>
    <row r="45" spans="1:14" ht="20" customHeight="1">
      <c r="A45" t="s">
        <v>21</v>
      </c>
      <c r="B45" t="s">
        <v>57</v>
      </c>
      <c r="C45" s="3">
        <v>79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15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89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83</v>
      </c>
      <c r="C49" s="40">
        <f>1 - C48/D48</f>
        <v>0.2583333333333333</v>
      </c>
      <c r="I49" t="s">
        <v>84</v>
      </c>
    </row>
    <row r="50" spans="1:9" ht="17" thickTop="1"/>
  </sheetData>
  <mergeCells count="3">
    <mergeCell ref="E21:F21"/>
    <mergeCell ref="G21:K21"/>
    <mergeCell ref="C21:D21"/>
  </mergeCells>
  <hyperlinks>
    <hyperlink ref="G24" r:id="rId1" display="incompleet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2026-02-07T21:03:19Z</dcterms:modified>
</cp:coreProperties>
</file>
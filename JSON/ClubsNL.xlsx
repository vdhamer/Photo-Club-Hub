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JSON/"/>
    </mc:Choice>
  </mc:AlternateContent>
  <xr:revisionPtr revIDLastSave="0" documentId="13_ncr:1_{38AD0530-B716-DB4C-8283-D4DAFFD147DA}" xr6:coauthVersionLast="47" xr6:coauthVersionMax="47" xr10:uidLastSave="{00000000-0000-0000-0000-000000000000}"/>
  <bookViews>
    <workbookView xWindow="0" yWindow="660" windowWidth="29400" windowHeight="16660" xr2:uid="{084E1DFC-5E29-0141-8377-174496560C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D39" i="1"/>
  <c r="C39" i="1"/>
  <c r="C19" i="1"/>
  <c r="C18" i="1"/>
  <c r="C48" i="1"/>
  <c r="F48" i="1"/>
  <c r="E48" i="1"/>
  <c r="D43" i="1"/>
  <c r="D44" i="1"/>
  <c r="D45" i="1"/>
  <c r="G46" i="1"/>
  <c r="G45" i="1"/>
  <c r="D46" i="1"/>
  <c r="C40" i="1" l="1"/>
  <c r="D48" i="1"/>
  <c r="C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van den Hamer</author>
  </authors>
  <commentList>
    <comment ref="B24" authorId="0" shapeId="0" xr:uid="{EE24AEB8-A4ED-AD48-85DE-42F41285BA7D}">
      <text>
        <r>
          <rPr>
            <b/>
            <sz val="10"/>
            <color rgb="FF000000"/>
            <rFont val="Tahoma"/>
            <family val="2"/>
          </rPr>
          <t>Peter van den Hamer: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Dick Mandemaker</t>
        </r>
      </text>
    </comment>
    <comment ref="B35" authorId="0" shapeId="0" xr:uid="{3D59937F-0049-7746-A177-9B1F135C5E2C}">
      <text>
        <r>
          <rPr>
            <b/>
            <sz val="10"/>
            <color rgb="FF000000"/>
            <rFont val="Tahoma"/>
            <family val="2"/>
          </rPr>
          <t>Peter van den Hamer: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Werkt met Claude AI</t>
        </r>
      </text>
    </comment>
  </commentList>
</comments>
</file>

<file path=xl/sharedStrings.xml><?xml version="1.0" encoding="utf-8"?>
<sst xmlns="http://schemas.openxmlformats.org/spreadsheetml/2006/main" count="232" uniqueCount="97">
  <si>
    <t>Club</t>
  </si>
  <si>
    <t>fgDeGender</t>
  </si>
  <si>
    <t>fcBellusImago</t>
  </si>
  <si>
    <t>fcDenDungen</t>
  </si>
  <si>
    <t>fcEricamera</t>
  </si>
  <si>
    <t>fgOirschot</t>
  </si>
  <si>
    <t>fgWaalre</t>
  </si>
  <si>
    <t>fkGestel</t>
  </si>
  <si>
    <t>Peter van den Hamer</t>
  </si>
  <si>
    <t>Paula Anglès</t>
  </si>
  <si>
    <t>Wil der Kinderen</t>
  </si>
  <si>
    <t>Bob Alisic</t>
  </si>
  <si>
    <t>Rien den Otter</t>
  </si>
  <si>
    <t>Jac Hendriks</t>
  </si>
  <si>
    <t>Mariet Wielders</t>
  </si>
  <si>
    <t>Anneke Hooijer</t>
  </si>
  <si>
    <t>Rita Dekkers</t>
  </si>
  <si>
    <t>Corrine van der Laar</t>
  </si>
  <si>
    <t>✅</t>
  </si>
  <si>
    <t>❌</t>
  </si>
  <si>
    <t>portfolio's</t>
  </si>
  <si>
    <t>afdeling BrabantOost</t>
  </si>
  <si>
    <t>afdeling BrabantWest</t>
  </si>
  <si>
    <t>afdeling DrentheVechtdal</t>
  </si>
  <si>
    <t>clubs in app</t>
  </si>
  <si>
    <t>incompleet</t>
  </si>
  <si>
    <t>Esther van de Vooren?</t>
  </si>
  <si>
    <t>expertises</t>
  </si>
  <si>
    <t xml:space="preserve">✅ </t>
  </si>
  <si>
    <t>featured image</t>
  </si>
  <si>
    <t>Opmerking</t>
  </si>
  <si>
    <t>Momenteel actief</t>
  </si>
  <si>
    <t>🔵 `root_.level1.json` (to replace old `root.level1.json`)</t>
  </si>
  <si>
    <t xml:space="preserve">          🔵 `clubsNL.level1.json` (only contains a growing list of includes)</t>
  </si>
  <si>
    <t xml:space="preserve">          🔵 `clubsXamples.level1.json` (dummy clubs used as templates)</t>
  </si>
  <si>
    <t xml:space="preserve">                        🔵 `museumsJP.level1.json` (Japan 2x)</t>
  </si>
  <si>
    <t xml:space="preserve">                       🔵 `clubsNL03.level1.json` (Drenthe + Vechtdal)</t>
  </si>
  <si>
    <t xml:space="preserve">                       🔵 `clubsNL16.level1.json` (Brabant Oost)</t>
  </si>
  <si>
    <t>template clubs</t>
  </si>
  <si>
    <t>totaal (ex. Template clubs)</t>
  </si>
  <si>
    <t>Bram van den Berge</t>
  </si>
  <si>
    <t>fcSchijndel</t>
  </si>
  <si>
    <t>Level 1 structuur (vanaf versie 2.9.0)</t>
  </si>
  <si>
    <t>club op kaart</t>
  </si>
  <si>
    <t>"Level 1"</t>
  </si>
  <si>
    <t>"Level 2"</t>
  </si>
  <si>
    <t>"Level 3"</t>
  </si>
  <si>
    <t>komt er in H1 2026 niet aan toe</t>
  </si>
  <si>
    <t>templateMin</t>
  </si>
  <si>
    <t>templateMax</t>
  </si>
  <si>
    <t>bewust leeg</t>
  </si>
  <si>
    <t>bestuursleden</t>
  </si>
  <si>
    <t>nvt?</t>
  </si>
  <si>
    <t>lid website</t>
  </si>
  <si>
    <t>club website</t>
  </si>
  <si>
    <t>hebben geen</t>
  </si>
  <si>
    <t>Portfolio's worden soms extreem klein getoond.</t>
  </si>
  <si>
    <t>Peter van den Hamer?</t>
  </si>
  <si>
    <t>Peter moet foto's expo van Nov 2025 nog toevoegen.</t>
  </si>
  <si>
    <t>clubs in afdeling</t>
  </si>
  <si>
    <t>Afdeling</t>
  </si>
  <si>
    <t>Moment actief</t>
  </si>
  <si>
    <t>contact voor app</t>
  </si>
  <si>
    <t>volgens app</t>
  </si>
  <si>
    <t>volgens website</t>
  </si>
  <si>
    <t>Fotobond</t>
  </si>
  <si>
    <t>nonFotobond</t>
  </si>
  <si>
    <t>nvt</t>
  </si>
  <si>
    <t>% Fotobond</t>
  </si>
  <si>
    <t>mogelijk meer dan 4 non-Fotobond clubs</t>
  </si>
  <si>
    <t xml:space="preserve">          🔵 `museums.level1.json` (bevat overigen landen)</t>
  </si>
  <si>
    <t>clubs/musea</t>
  </si>
  <si>
    <t>beheerder</t>
  </si>
  <si>
    <t>bestand</t>
  </si>
  <si>
    <t>fcVeghel</t>
  </si>
  <si>
    <t xml:space="preserve">                        🔵 `museumsAU.level1.json` (Australia)</t>
  </si>
  <si>
    <t xml:space="preserve">                        🔵 `museumsCN.level1.json` (China)</t>
  </si>
  <si>
    <t xml:space="preserve">                        🔵 `museumsDE.level1.json` (Germany)</t>
  </si>
  <si>
    <t xml:space="preserve">                        🔵 `museumsGB.level1.json` (Great Britain)</t>
  </si>
  <si>
    <t xml:space="preserve">                        🔵 `museumsNL.level1.json` (Netherlands)</t>
  </si>
  <si>
    <t xml:space="preserve">                        🔵 `museumsUS.level1.json` (USA)</t>
  </si>
  <si>
    <t>onbekend</t>
  </si>
  <si>
    <t>ontbrekende leden in app</t>
  </si>
  <si>
    <t>ontbrekende clubs in app</t>
  </si>
  <si>
    <t>zowel Fotobond als bekende non-Fotobond clubs</t>
  </si>
  <si>
    <t>Aantal clubleden</t>
  </si>
  <si>
    <t>Clubs &amp; Musea</t>
  </si>
  <si>
    <t>(Echte) clubs</t>
  </si>
  <si>
    <t>vrijwel lege Level2 bestand klaargezet</t>
  </si>
  <si>
    <t>Peter van Gils</t>
  </si>
  <si>
    <t>fegGemert</t>
  </si>
  <si>
    <t>ffcShot71</t>
  </si>
  <si>
    <t>leden lijst &amp; link</t>
  </si>
  <si>
    <t>Persoonlijk16</t>
  </si>
  <si>
    <t>Persoonlijk03</t>
  </si>
  <si>
    <t>Harry Michiels</t>
  </si>
  <si>
    <t>besproken/goedgekeurd op club ALV op 5-Feb-26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</si>
</sst>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212529"/>
      <name val="Arial"/>
      <family val="2"/>
    </font>
    <font>
      <sz val="16"/>
      <color rgb="FF666666"/>
      <name val="Inheri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 style="thin">
        <color auto="1"/>
      </right>
      <top style="double">
        <color rgb="FF3F3F3F"/>
      </top>
      <bottom/>
      <diagonal/>
    </border>
    <border>
      <left style="thin">
        <color auto="1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 style="thin">
        <color auto="1"/>
      </left>
      <right style="thin">
        <color auto="1"/>
      </right>
      <top style="double">
        <color rgb="FF3F3F3F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9" fontId="7" fillId="3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49" fontId="7" fillId="3" borderId="0" xfId="1" applyNumberFormat="1" applyFont="1" applyFill="1" applyAlignment="1">
      <alignment horizontal="left"/>
    </xf>
    <xf numFmtId="0" fontId="2" fillId="2" borderId="1" xfId="3" applyAlignment="1">
      <alignment horizontal="center"/>
    </xf>
    <xf numFmtId="49" fontId="7" fillId="3" borderId="3" xfId="1" applyNumberFormat="1" applyFont="1" applyFill="1" applyBorder="1" applyAlignment="1">
      <alignment horizontal="center"/>
    </xf>
    <xf numFmtId="49" fontId="7" fillId="3" borderId="4" xfId="1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7" fillId="3" borderId="0" xfId="1" applyNumberFormat="1" applyFont="1" applyFill="1" applyBorder="1" applyAlignment="1">
      <alignment horizontal="left"/>
    </xf>
    <xf numFmtId="49" fontId="7" fillId="3" borderId="0" xfId="1" applyNumberFormat="1" applyFont="1" applyFill="1" applyBorder="1" applyAlignment="1">
      <alignment horizontal="center"/>
    </xf>
    <xf numFmtId="49" fontId="7" fillId="3" borderId="2" xfId="1" applyNumberFormat="1" applyFont="1" applyFill="1" applyBorder="1" applyAlignment="1">
      <alignment horizontal="center"/>
    </xf>
    <xf numFmtId="0" fontId="0" fillId="0" borderId="2" xfId="0" applyBorder="1"/>
    <xf numFmtId="49" fontId="7" fillId="3" borderId="5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9" fontId="6" fillId="0" borderId="0" xfId="2" applyFont="1" applyAlignment="1">
      <alignment horizontal="center"/>
    </xf>
    <xf numFmtId="0" fontId="8" fillId="0" borderId="0" xfId="0" applyFont="1"/>
    <xf numFmtId="0" fontId="4" fillId="0" borderId="0" xfId="4"/>
    <xf numFmtId="0" fontId="0" fillId="4" borderId="0" xfId="0" applyFill="1"/>
    <xf numFmtId="0" fontId="0" fillId="5" borderId="0" xfId="0" applyFill="1"/>
    <xf numFmtId="0" fontId="0" fillId="3" borderId="10" xfId="0" applyFill="1" applyBorder="1" applyAlignment="1">
      <alignment horizontal="center"/>
    </xf>
    <xf numFmtId="0" fontId="9" fillId="0" borderId="0" xfId="0" applyFont="1"/>
    <xf numFmtId="9" fontId="2" fillId="6" borderId="1" xfId="2" applyFont="1" applyFill="1" applyBorder="1" applyAlignment="1">
      <alignment horizontal="center"/>
    </xf>
    <xf numFmtId="0" fontId="4" fillId="0" borderId="3" xfId="4" applyBorder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4" applyAlignment="1">
      <alignment horizontal="center"/>
    </xf>
    <xf numFmtId="0" fontId="4" fillId="0" borderId="5" xfId="4" applyBorder="1" applyAlignment="1">
      <alignment horizontal="center"/>
    </xf>
    <xf numFmtId="0" fontId="4" fillId="0" borderId="4" xfId="4" applyBorder="1" applyAlignment="1">
      <alignment horizontal="center"/>
    </xf>
    <xf numFmtId="0" fontId="4" fillId="0" borderId="2" xfId="4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5">
    <cellStyle name="Check Cell" xfId="3" builtinId="23"/>
    <cellStyle name="Comma" xfId="1" builtinId="3"/>
    <cellStyle name="Hyperlink" xfId="4" builtinId="8"/>
    <cellStyle name="Normal" xfId="0" builtinId="0"/>
    <cellStyle name="Percent" xfId="2" builtinId="5"/>
  </cellStyles>
  <dxfs count="24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double">
          <color rgb="FF3F3F3F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B9A37-6C77-C04D-823C-1F22CEC41A47}" name="Table1" displayName="Table1" ref="A22:N38" totalsRowShown="0" headerRowDxfId="23" headerRowCellStyle="Comma">
  <autoFilter ref="A22:N38" xr:uid="{7BFB9A37-6C77-C04D-823C-1F22CEC41A47}"/>
  <sortState xmlns:xlrd2="http://schemas.microsoft.com/office/spreadsheetml/2017/richdata2" ref="A23:N38">
    <sortCondition descending="1" ref="D22:D38"/>
  </sortState>
  <tableColumns count="14">
    <tableColumn id="1" xr3:uid="{16FD4912-2777-D44B-BAA2-DF72031A6FBF}" name="Club" dataDxfId="22"/>
    <tableColumn id="2" xr3:uid="{D3F74DA3-FD18-0945-91A6-87E8A0AAF0F2}" name="contact voor app" dataDxfId="21"/>
    <tableColumn id="3" xr3:uid="{CC1E18D6-98F8-F849-8725-C4A907616661}" name="volgens app" dataDxfId="20"/>
    <tableColumn id="4" xr3:uid="{5743EC05-499D-2A43-B382-184D22CD50BC}" name="volgens website" dataDxfId="19"/>
    <tableColumn id="5" xr3:uid="{2A142040-356D-8A4F-8279-E185EB2BC50B}" name="club op kaart" dataDxfId="18"/>
    <tableColumn id="6" xr3:uid="{3CC810E5-003B-F74C-9504-4ED2036DE1E7}" name="club website" dataDxfId="17"/>
    <tableColumn id="7" xr3:uid="{C1634577-561E-5D4B-BB23-133C51958BDB}" name="leden lijst &amp; link" dataDxfId="16"/>
    <tableColumn id="8" xr3:uid="{2C9F80B9-0340-5A4D-BC64-757304D12D92}" name="featured image" dataDxfId="15"/>
    <tableColumn id="9" xr3:uid="{C5C64B85-895C-C244-9352-A9F04BB3AD08}" name="expertises" dataDxfId="14"/>
    <tableColumn id="10" xr3:uid="{FAC779F1-11AB-8D4D-89DB-0C843273A450}" name="lid website" dataDxfId="13"/>
    <tableColumn id="11" xr3:uid="{ECF8E65C-7B1A-CE46-A0C7-46174388719C}" name="bestuursleden" dataDxfId="12"/>
    <tableColumn id="12" xr3:uid="{20592BBE-01DC-8F47-9DB6-133915F7B829}" name="portfolio's" dataDxfId="11"/>
    <tableColumn id="13" xr3:uid="{509BD853-42B7-7448-B3DA-B0AD4A518221}" name="Momenteel actief" dataDxfId="10"/>
    <tableColumn id="14" xr3:uid="{CB3FDBB9-8552-6044-989A-BF48D73BB53D}" name="Opmerking" dataDxfId="9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122FD9-0012-974E-8524-BD3E0FFEF173}" name="Table5" displayName="Table5" ref="A42:I46" totalsRowShown="0" headerRowDxfId="8">
  <autoFilter ref="A42:I46" xr:uid="{64122FD9-0012-974E-8524-BD3E0FFEF173}"/>
  <sortState xmlns:xlrd2="http://schemas.microsoft.com/office/spreadsheetml/2017/richdata2" ref="A43:I46">
    <sortCondition descending="1" ref="E42:E46"/>
  </sortState>
  <tableColumns count="9">
    <tableColumn id="1" xr3:uid="{5C79ADE5-E9D4-764E-A62E-ED1B23E337E8}" name="Afdeling"/>
    <tableColumn id="2" xr3:uid="{ED07554A-6159-5543-B1DA-61CB0A7B6C0A}" name="contact voor app"/>
    <tableColumn id="3" xr3:uid="{92527A9E-5DF3-364B-8235-7C4E537AA579}" name="clubs in app" dataDxfId="7"/>
    <tableColumn id="4" xr3:uid="{07E2AC0A-3AAB-F444-902C-A129018B5327}" name="clubs in afdeling" dataDxfId="6"/>
    <tableColumn id="5" xr3:uid="{87F1F381-FA3E-8D40-851D-A4F7993752DE}" name="Fotobond" dataDxfId="5"/>
    <tableColumn id="6" xr3:uid="{A9CF5635-EBAD-B040-BF71-3E77E09BBB43}" name="nonFotobond" dataDxfId="4"/>
    <tableColumn id="9" xr3:uid="{5C084667-3F83-6F4E-8687-1A7FBBF558C2}" name="% Fotobond" dataDxfId="3" dataCellStyle="Percent"/>
    <tableColumn id="7" xr3:uid="{24532655-7031-274B-854D-128E98E3B718}" name="Moment actief" dataDxfId="2"/>
    <tableColumn id="10" xr3:uid="{A8142398-B094-F849-B96E-739B6E42C1DA}" name="Opmerking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C1E894-FF62-D94F-86C9-0F118170FA74}" name="Table2" displayName="Table2" ref="B3:D17" totalsRowShown="0" headerRowDxfId="0">
  <autoFilter ref="B3:D17" xr:uid="{0EC1E894-FF62-D94F-86C9-0F118170FA74}"/>
  <tableColumns count="3">
    <tableColumn id="1" xr3:uid="{8B16138C-6720-474D-87C6-17E647EE5905}" name="beheerder"/>
    <tableColumn id="2" xr3:uid="{87BBD075-0DA7-E540-949B-D082C0B1E84E}" name="clubs/musea"/>
    <tableColumn id="3" xr3:uid="{A2EE4C69-9F28-B34A-AF5C-F9E67B1FDDFE}" name="best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dhamer/Photo-Club-Hub/blob/main/JSON/fcEricamera.level2.json" TargetMode="External"/><Relationship Id="rId13" Type="http://schemas.openxmlformats.org/officeDocument/2006/relationships/hyperlink" Target="https://github.com/vdhamer/Photo-Club-Hub/blob/main/JSON/XampleMin.level2.json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github.com/vdhamer/Photo-Club-Hub/blob/main/JSON/ffcShot71.level2.json" TargetMode="External"/><Relationship Id="rId7" Type="http://schemas.openxmlformats.org/officeDocument/2006/relationships/hyperlink" Target="https://github.com/vdhamer/Photo-Club-Hub/blob/main/JSON/fgOirschot.level2.json" TargetMode="External"/><Relationship Id="rId12" Type="http://schemas.openxmlformats.org/officeDocument/2006/relationships/hyperlink" Target="https://github.com/vdhamer/Photo-Club-Hub/blob/main/JSON/fegGemert.level2.json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github.com/vdhamer/Photo-Club-Hub/blob/main/JSON/fkGestel.level2.json" TargetMode="External"/><Relationship Id="rId16" Type="http://schemas.openxmlformats.org/officeDocument/2006/relationships/vmlDrawing" Target="../drawings/vmlDrawing1.vml"/><Relationship Id="rId20" Type="http://schemas.openxmlformats.org/officeDocument/2006/relationships/comments" Target="../comments1.xml"/><Relationship Id="rId1" Type="http://schemas.openxmlformats.org/officeDocument/2006/relationships/hyperlink" Target="https://github.com/vdhamer/Photo-Club-Hub/blob/main/JSON/fcVeghel.level2.json" TargetMode="External"/><Relationship Id="rId6" Type="http://schemas.openxmlformats.org/officeDocument/2006/relationships/hyperlink" Target="https://github.com/vdhamer/Photo-Club-Hub/blob/main/JSON/fgDeGender.level2.json" TargetMode="External"/><Relationship Id="rId11" Type="http://schemas.openxmlformats.org/officeDocument/2006/relationships/hyperlink" Target="https://github.com/vdhamer/Photo-Club-Hub/blob/main/JSON/Persoonlijk16.level2.json" TargetMode="External"/><Relationship Id="rId5" Type="http://schemas.openxmlformats.org/officeDocument/2006/relationships/hyperlink" Target="https://github.com/vdhamer/Photo-Club-Hub/blob/main/JSON/fcBellusImago.level2.json" TargetMode="External"/><Relationship Id="rId15" Type="http://schemas.openxmlformats.org/officeDocument/2006/relationships/hyperlink" Target="https://github.com/vdhamer/Photo-Club-Hub/blob/main/JSON/fcSchijndel.level2.json" TargetMode="External"/><Relationship Id="rId10" Type="http://schemas.openxmlformats.org/officeDocument/2006/relationships/hyperlink" Target="https://github.com/vdhamer/Photo-Club-Hub/blob/main/JSON/fcDenDungen.level2.json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github.com/vdhamer/Photo-Club-Hub/blob/main/JSON/Persoonlijk03.level2.json" TargetMode="External"/><Relationship Id="rId9" Type="http://schemas.openxmlformats.org/officeDocument/2006/relationships/hyperlink" Target="https://github.com/vdhamer/Photo-Club-Hub/blob/main/JSON/fgWaalre.level2.json" TargetMode="External"/><Relationship Id="rId14" Type="http://schemas.openxmlformats.org/officeDocument/2006/relationships/hyperlink" Target="https://github.com/vdhamer/Photo-Club-Hub/blob/main/JSON/XampleMax.level2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0026-93EC-6A48-ADED-7C2F14F32A0C}">
  <sheetPr>
    <pageSetUpPr fitToPage="1"/>
  </sheetPr>
  <dimension ref="A1:Q50"/>
  <sheetViews>
    <sheetView tabSelected="1" topLeftCell="A18" zoomScale="141" workbookViewId="0">
      <selection activeCell="D24" sqref="D24"/>
    </sheetView>
  </sheetViews>
  <sheetFormatPr baseColWidth="10" defaultRowHeight="16"/>
  <cols>
    <col min="1" max="1" width="22" bestFit="1" customWidth="1"/>
    <col min="2" max="2" width="18.1640625" bestFit="1" customWidth="1"/>
    <col min="3" max="3" width="13.1640625" customWidth="1"/>
    <col min="4" max="4" width="18.5" customWidth="1"/>
    <col min="5" max="5" width="12.33203125" customWidth="1"/>
    <col min="6" max="6" width="12.1640625" customWidth="1"/>
    <col min="7" max="7" width="18.6640625" style="3" bestFit="1" customWidth="1"/>
    <col min="8" max="8" width="14" customWidth="1"/>
    <col min="9" max="10" width="12.33203125" customWidth="1"/>
    <col min="11" max="11" width="13.33203125" customWidth="1"/>
    <col min="12" max="12" width="12.33203125" customWidth="1"/>
    <col min="13" max="13" width="16" customWidth="1"/>
    <col min="14" max="14" width="43.1640625" bestFit="1" customWidth="1"/>
    <col min="15" max="99" width="11.1640625" customWidth="1"/>
    <col min="100" max="999" width="12.1640625" customWidth="1"/>
    <col min="1000" max="9999" width="13.1640625" customWidth="1"/>
    <col min="10000" max="16384" width="14.33203125" customWidth="1"/>
  </cols>
  <sheetData>
    <row r="1" spans="1:7" s="1" customFormat="1">
      <c r="A1" s="1" t="s">
        <v>42</v>
      </c>
      <c r="G1" s="7"/>
    </row>
    <row r="3" spans="1:7" s="36" customFormat="1">
      <c r="B3" s="37" t="s">
        <v>72</v>
      </c>
      <c r="C3" s="37" t="s">
        <v>71</v>
      </c>
      <c r="D3" s="37" t="s">
        <v>73</v>
      </c>
      <c r="G3" s="42"/>
    </row>
    <row r="4" spans="1:7">
      <c r="B4" t="s">
        <v>8</v>
      </c>
      <c r="C4">
        <v>0</v>
      </c>
      <c r="D4" t="s">
        <v>32</v>
      </c>
    </row>
    <row r="5" spans="1:7">
      <c r="B5" t="s">
        <v>8</v>
      </c>
      <c r="C5">
        <v>0</v>
      </c>
      <c r="D5" t="s">
        <v>33</v>
      </c>
    </row>
    <row r="6" spans="1:7">
      <c r="B6" t="s">
        <v>15</v>
      </c>
      <c r="C6">
        <v>10</v>
      </c>
      <c r="D6" t="s">
        <v>36</v>
      </c>
    </row>
    <row r="7" spans="1:7">
      <c r="B7" t="s">
        <v>57</v>
      </c>
      <c r="C7">
        <v>79</v>
      </c>
      <c r="D7" t="s">
        <v>37</v>
      </c>
    </row>
    <row r="8" spans="1:7">
      <c r="B8" t="s">
        <v>8</v>
      </c>
      <c r="C8">
        <v>2</v>
      </c>
      <c r="D8" t="s">
        <v>34</v>
      </c>
    </row>
    <row r="9" spans="1:7">
      <c r="B9" t="s">
        <v>8</v>
      </c>
      <c r="C9">
        <v>13</v>
      </c>
      <c r="D9" t="s">
        <v>70</v>
      </c>
    </row>
    <row r="10" spans="1:7">
      <c r="B10" t="s">
        <v>8</v>
      </c>
      <c r="C10">
        <v>3</v>
      </c>
      <c r="D10" t="s">
        <v>75</v>
      </c>
    </row>
    <row r="11" spans="1:7">
      <c r="B11" t="s">
        <v>8</v>
      </c>
      <c r="C11">
        <v>3</v>
      </c>
      <c r="D11" t="s">
        <v>76</v>
      </c>
    </row>
    <row r="12" spans="1:7">
      <c r="B12" t="s">
        <v>8</v>
      </c>
      <c r="C12">
        <v>2</v>
      </c>
      <c r="D12" t="s">
        <v>77</v>
      </c>
    </row>
    <row r="13" spans="1:7">
      <c r="B13" t="s">
        <v>8</v>
      </c>
      <c r="C13">
        <v>2</v>
      </c>
      <c r="D13" t="s">
        <v>78</v>
      </c>
    </row>
    <row r="14" spans="1:7">
      <c r="B14" t="s">
        <v>8</v>
      </c>
      <c r="C14">
        <v>2</v>
      </c>
      <c r="D14" t="s">
        <v>35</v>
      </c>
    </row>
    <row r="15" spans="1:7">
      <c r="B15" t="s">
        <v>8</v>
      </c>
      <c r="C15">
        <v>10</v>
      </c>
      <c r="D15" t="s">
        <v>79</v>
      </c>
    </row>
    <row r="16" spans="1:7">
      <c r="B16" t="s">
        <v>8</v>
      </c>
      <c r="C16">
        <v>6</v>
      </c>
      <c r="D16" t="s">
        <v>80</v>
      </c>
    </row>
    <row r="18" spans="1:17">
      <c r="B18" t="s">
        <v>86</v>
      </c>
      <c r="C18">
        <f>SUM(C4:C17)</f>
        <v>132</v>
      </c>
    </row>
    <row r="19" spans="1:17">
      <c r="B19" t="s">
        <v>87</v>
      </c>
      <c r="C19">
        <f>SUM(C5:C8)-C8</f>
        <v>89</v>
      </c>
    </row>
    <row r="20" spans="1:17" ht="17" thickBot="1"/>
    <row r="21" spans="1:17" s="7" customFormat="1" ht="17" thickTop="1">
      <c r="A21"/>
      <c r="B21"/>
      <c r="C21" s="50" t="s">
        <v>85</v>
      </c>
      <c r="D21" s="48"/>
      <c r="E21" s="47" t="s">
        <v>44</v>
      </c>
      <c r="F21" s="48"/>
      <c r="G21" s="47" t="s">
        <v>45</v>
      </c>
      <c r="H21" s="49"/>
      <c r="I21" s="49"/>
      <c r="J21" s="49"/>
      <c r="K21" s="48"/>
      <c r="L21" s="38" t="s">
        <v>46</v>
      </c>
      <c r="M21"/>
      <c r="N21"/>
      <c r="O21"/>
      <c r="P21"/>
      <c r="Q21"/>
    </row>
    <row r="22" spans="1:17" s="6" customFormat="1">
      <c r="A22" s="6" t="s">
        <v>0</v>
      </c>
      <c r="B22" s="6" t="s">
        <v>62</v>
      </c>
      <c r="C22" s="20" t="s">
        <v>63</v>
      </c>
      <c r="D22" s="11" t="s">
        <v>64</v>
      </c>
      <c r="E22" s="10" t="s">
        <v>43</v>
      </c>
      <c r="F22" s="11" t="s">
        <v>54</v>
      </c>
      <c r="G22" s="10" t="s">
        <v>92</v>
      </c>
      <c r="H22" s="16" t="s">
        <v>29</v>
      </c>
      <c r="I22" s="17" t="s">
        <v>27</v>
      </c>
      <c r="J22" s="17" t="s">
        <v>53</v>
      </c>
      <c r="K22" s="11" t="s">
        <v>51</v>
      </c>
      <c r="L22" s="18" t="s">
        <v>20</v>
      </c>
      <c r="M22" s="8" t="s">
        <v>31</v>
      </c>
      <c r="N22" s="6" t="s">
        <v>30</v>
      </c>
      <c r="O22"/>
      <c r="P22"/>
      <c r="Q22"/>
    </row>
    <row r="23" spans="1:17" ht="20" customHeight="1">
      <c r="A23" s="4" t="s">
        <v>41</v>
      </c>
      <c r="B23" s="4" t="s">
        <v>17</v>
      </c>
      <c r="C23" s="22">
        <v>0</v>
      </c>
      <c r="D23" s="13">
        <v>35</v>
      </c>
      <c r="E23" s="12" t="s">
        <v>18</v>
      </c>
      <c r="F23" s="25" t="s">
        <v>18</v>
      </c>
      <c r="G23" s="41" t="s">
        <v>19</v>
      </c>
      <c r="H23" s="3" t="s">
        <v>19</v>
      </c>
      <c r="I23" s="3" t="s">
        <v>19</v>
      </c>
      <c r="J23" s="26" t="s">
        <v>19</v>
      </c>
      <c r="K23" s="25" t="s">
        <v>19</v>
      </c>
      <c r="L23" s="27" t="s">
        <v>19</v>
      </c>
      <c r="M23" s="5"/>
      <c r="N23" t="s">
        <v>47</v>
      </c>
    </row>
    <row r="24" spans="1:17" ht="20" customHeight="1">
      <c r="A24" t="s">
        <v>74</v>
      </c>
      <c r="B24" t="s">
        <v>95</v>
      </c>
      <c r="C24" s="21">
        <v>34</v>
      </c>
      <c r="D24" s="13">
        <v>34</v>
      </c>
      <c r="E24" s="12" t="s">
        <v>18</v>
      </c>
      <c r="F24" s="13" t="s">
        <v>18</v>
      </c>
      <c r="G24" s="43" t="s">
        <v>18</v>
      </c>
      <c r="H24" s="3" t="s">
        <v>28</v>
      </c>
      <c r="I24" s="3" t="s">
        <v>25</v>
      </c>
      <c r="J24" s="3" t="s">
        <v>25</v>
      </c>
      <c r="K24" s="25" t="s">
        <v>18</v>
      </c>
      <c r="L24" s="3" t="s">
        <v>28</v>
      </c>
      <c r="M24" s="26" t="s">
        <v>18</v>
      </c>
      <c r="N24" t="s">
        <v>96</v>
      </c>
    </row>
    <row r="25" spans="1:17" ht="20" customHeight="1">
      <c r="A25" t="s">
        <v>2</v>
      </c>
      <c r="B25" t="s">
        <v>9</v>
      </c>
      <c r="C25" s="24">
        <v>23</v>
      </c>
      <c r="D25" s="13">
        <v>22</v>
      </c>
      <c r="E25" s="12" t="s">
        <v>18</v>
      </c>
      <c r="F25" s="25" t="s">
        <v>18</v>
      </c>
      <c r="G25" s="41" t="s">
        <v>18</v>
      </c>
      <c r="H25" s="3" t="s">
        <v>28</v>
      </c>
      <c r="I25" s="3" t="s">
        <v>25</v>
      </c>
      <c r="J25" s="3">
        <v>7</v>
      </c>
      <c r="K25" s="25" t="s">
        <v>18</v>
      </c>
      <c r="L25" s="28" t="s">
        <v>18</v>
      </c>
      <c r="M25" s="3"/>
    </row>
    <row r="26" spans="1:17" ht="20" customHeight="1">
      <c r="A26" t="s">
        <v>1</v>
      </c>
      <c r="B26" t="s">
        <v>8</v>
      </c>
      <c r="C26" s="21">
        <v>24</v>
      </c>
      <c r="D26" s="13">
        <v>24</v>
      </c>
      <c r="E26" s="12" t="s">
        <v>18</v>
      </c>
      <c r="F26" s="13" t="s">
        <v>18</v>
      </c>
      <c r="G26" s="41" t="s">
        <v>18</v>
      </c>
      <c r="H26" s="3" t="s">
        <v>18</v>
      </c>
      <c r="I26" s="3" t="s">
        <v>18</v>
      </c>
      <c r="J26" s="3">
        <v>8</v>
      </c>
      <c r="K26" s="13" t="s">
        <v>18</v>
      </c>
      <c r="L26" s="28" t="s">
        <v>18</v>
      </c>
      <c r="M26" s="3" t="s">
        <v>18</v>
      </c>
      <c r="N26" s="30" t="s">
        <v>58</v>
      </c>
    </row>
    <row r="27" spans="1:17" ht="20" customHeight="1">
      <c r="A27" t="s">
        <v>5</v>
      </c>
      <c r="B27" t="s">
        <v>10</v>
      </c>
      <c r="C27" s="24">
        <v>18</v>
      </c>
      <c r="D27" s="13">
        <v>19</v>
      </c>
      <c r="E27" s="12" t="s">
        <v>18</v>
      </c>
      <c r="F27" s="13" t="s">
        <v>18</v>
      </c>
      <c r="G27" s="41" t="s">
        <v>18</v>
      </c>
      <c r="H27" s="3" t="s">
        <v>28</v>
      </c>
      <c r="I27" s="3" t="s">
        <v>28</v>
      </c>
      <c r="J27" s="29">
        <v>1</v>
      </c>
      <c r="K27" s="25" t="s">
        <v>18</v>
      </c>
      <c r="L27" s="28" t="s">
        <v>18</v>
      </c>
      <c r="M27" s="3"/>
    </row>
    <row r="28" spans="1:17" ht="20" customHeight="1">
      <c r="A28" t="s">
        <v>4</v>
      </c>
      <c r="B28" t="s">
        <v>11</v>
      </c>
      <c r="C28" s="24">
        <v>19</v>
      </c>
      <c r="D28" s="13">
        <v>18</v>
      </c>
      <c r="E28" s="12" t="s">
        <v>18</v>
      </c>
      <c r="F28" s="13" t="s">
        <v>18</v>
      </c>
      <c r="G28" s="41" t="s">
        <v>18</v>
      </c>
      <c r="H28" s="3" t="s">
        <v>25</v>
      </c>
      <c r="I28" s="3" t="s">
        <v>25</v>
      </c>
      <c r="J28" s="29">
        <v>3</v>
      </c>
      <c r="K28" s="25" t="s">
        <v>18</v>
      </c>
      <c r="L28" s="28" t="s">
        <v>25</v>
      </c>
      <c r="M28" s="3"/>
    </row>
    <row r="29" spans="1:17" ht="20" customHeight="1">
      <c r="A29" t="s">
        <v>6</v>
      </c>
      <c r="B29" t="s">
        <v>40</v>
      </c>
      <c r="C29" s="24">
        <v>19</v>
      </c>
      <c r="D29" s="13">
        <v>18</v>
      </c>
      <c r="E29" s="12" t="s">
        <v>18</v>
      </c>
      <c r="F29" s="25" t="s">
        <v>18</v>
      </c>
      <c r="G29" s="41" t="s">
        <v>18</v>
      </c>
      <c r="H29" s="3" t="s">
        <v>18</v>
      </c>
      <c r="I29" s="3" t="s">
        <v>18</v>
      </c>
      <c r="J29" s="29">
        <v>3</v>
      </c>
      <c r="K29" s="13" t="s">
        <v>18</v>
      </c>
      <c r="L29" s="28" t="s">
        <v>18</v>
      </c>
      <c r="M29" s="3"/>
    </row>
    <row r="30" spans="1:17" ht="20" customHeight="1">
      <c r="A30" t="s">
        <v>7</v>
      </c>
      <c r="B30" t="s">
        <v>13</v>
      </c>
      <c r="C30" s="24">
        <v>11</v>
      </c>
      <c r="D30" s="13">
        <v>17</v>
      </c>
      <c r="E30" s="12" t="s">
        <v>18</v>
      </c>
      <c r="F30" s="13" t="s">
        <v>18</v>
      </c>
      <c r="G30" s="41" t="s">
        <v>25</v>
      </c>
      <c r="H30" s="3" t="s">
        <v>28</v>
      </c>
      <c r="I30" s="3" t="s">
        <v>25</v>
      </c>
      <c r="J30" s="29">
        <v>0</v>
      </c>
      <c r="K30" s="25" t="s">
        <v>18</v>
      </c>
      <c r="L30" s="28" t="s">
        <v>25</v>
      </c>
      <c r="M30" s="26" t="s">
        <v>18</v>
      </c>
      <c r="N30" s="30" t="s">
        <v>56</v>
      </c>
    </row>
    <row r="31" spans="1:17" ht="20" customHeight="1">
      <c r="A31" s="35" t="s">
        <v>91</v>
      </c>
      <c r="B31" s="35" t="s">
        <v>16</v>
      </c>
      <c r="C31" s="44">
        <v>1</v>
      </c>
      <c r="D31" s="45">
        <v>16</v>
      </c>
      <c r="E31" s="12" t="s">
        <v>18</v>
      </c>
      <c r="F31" s="45" t="s">
        <v>18</v>
      </c>
      <c r="G31" s="41" t="s">
        <v>25</v>
      </c>
      <c r="H31" s="43" t="s">
        <v>19</v>
      </c>
      <c r="I31" s="43" t="s">
        <v>19</v>
      </c>
      <c r="J31" s="43" t="s">
        <v>19</v>
      </c>
      <c r="K31" s="45" t="s">
        <v>19</v>
      </c>
      <c r="L31" s="46" t="s">
        <v>19</v>
      </c>
      <c r="M31" s="43"/>
      <c r="N31" s="35" t="s">
        <v>88</v>
      </c>
    </row>
    <row r="32" spans="1:17" ht="20" customHeight="1">
      <c r="A32" t="s">
        <v>3</v>
      </c>
      <c r="B32" t="s">
        <v>12</v>
      </c>
      <c r="C32" s="21">
        <v>11</v>
      </c>
      <c r="D32" s="13">
        <v>11</v>
      </c>
      <c r="E32" s="12" t="s">
        <v>18</v>
      </c>
      <c r="F32" s="13" t="s">
        <v>18</v>
      </c>
      <c r="G32" s="41" t="s">
        <v>18</v>
      </c>
      <c r="H32" s="3" t="s">
        <v>18</v>
      </c>
      <c r="I32" s="3" t="s">
        <v>19</v>
      </c>
      <c r="J32" s="29">
        <v>0</v>
      </c>
      <c r="K32" s="25" t="s">
        <v>18</v>
      </c>
      <c r="L32" s="28" t="s">
        <v>19</v>
      </c>
      <c r="M32" s="3"/>
    </row>
    <row r="33" spans="1:14" ht="20" customHeight="1">
      <c r="A33" t="s">
        <v>93</v>
      </c>
      <c r="B33" t="s">
        <v>14</v>
      </c>
      <c r="C33" s="21">
        <v>10</v>
      </c>
      <c r="D33" s="13">
        <v>10</v>
      </c>
      <c r="E33" s="12" t="s">
        <v>18</v>
      </c>
      <c r="F33" s="23" t="s">
        <v>55</v>
      </c>
      <c r="G33" s="41" t="s">
        <v>18</v>
      </c>
      <c r="H33" s="3" t="s">
        <v>25</v>
      </c>
      <c r="I33" s="3" t="s">
        <v>28</v>
      </c>
      <c r="J33" s="3">
        <v>6</v>
      </c>
      <c r="K33" s="13" t="s">
        <v>52</v>
      </c>
      <c r="L33" s="28" t="s">
        <v>25</v>
      </c>
      <c r="M33" s="26" t="s">
        <v>18</v>
      </c>
    </row>
    <row r="34" spans="1:14" ht="20" customHeight="1">
      <c r="A34" t="s">
        <v>94</v>
      </c>
      <c r="B34" t="s">
        <v>15</v>
      </c>
      <c r="C34" s="24">
        <v>1</v>
      </c>
      <c r="D34" s="13">
        <v>1</v>
      </c>
      <c r="E34" s="12" t="s">
        <v>18</v>
      </c>
      <c r="F34" s="23" t="s">
        <v>55</v>
      </c>
      <c r="G34" s="41" t="s">
        <v>25</v>
      </c>
      <c r="H34" s="3" t="s">
        <v>19</v>
      </c>
      <c r="I34" s="3" t="s">
        <v>19</v>
      </c>
      <c r="J34" s="26" t="s">
        <v>19</v>
      </c>
      <c r="K34" s="25" t="s">
        <v>19</v>
      </c>
      <c r="L34" s="27" t="s">
        <v>19</v>
      </c>
      <c r="M34" s="3"/>
    </row>
    <row r="35" spans="1:14" ht="20" customHeight="1">
      <c r="A35" t="s">
        <v>90</v>
      </c>
      <c r="B35" t="s">
        <v>89</v>
      </c>
      <c r="C35" s="24">
        <v>1</v>
      </c>
      <c r="D35" s="13">
        <v>14</v>
      </c>
      <c r="E35" s="12" t="s">
        <v>18</v>
      </c>
      <c r="F35" s="13" t="s">
        <v>18</v>
      </c>
      <c r="G35" s="41" t="s">
        <v>25</v>
      </c>
      <c r="H35" s="3" t="s">
        <v>19</v>
      </c>
      <c r="I35" s="3" t="s">
        <v>19</v>
      </c>
      <c r="J35" s="26" t="s">
        <v>19</v>
      </c>
      <c r="K35" s="25" t="s">
        <v>19</v>
      </c>
      <c r="L35" s="27" t="s">
        <v>19</v>
      </c>
      <c r="M35" s="3"/>
      <c r="N35" t="s">
        <v>88</v>
      </c>
    </row>
    <row r="36" spans="1:14" ht="20" customHeight="1">
      <c r="A36" s="4" t="s">
        <v>48</v>
      </c>
      <c r="B36" s="4" t="s">
        <v>8</v>
      </c>
      <c r="C36" s="22">
        <v>2</v>
      </c>
      <c r="D36" s="23">
        <v>2</v>
      </c>
      <c r="E36" s="12" t="s">
        <v>18</v>
      </c>
      <c r="F36" s="23" t="s">
        <v>50</v>
      </c>
      <c r="G36" s="41" t="s">
        <v>18</v>
      </c>
      <c r="H36" s="3" t="s">
        <v>18</v>
      </c>
      <c r="I36" s="5" t="s">
        <v>50</v>
      </c>
      <c r="J36" s="5" t="s">
        <v>50</v>
      </c>
      <c r="K36" s="23" t="s">
        <v>50</v>
      </c>
      <c r="L36" s="28" t="s">
        <v>18</v>
      </c>
      <c r="M36" s="26" t="s">
        <v>18</v>
      </c>
    </row>
    <row r="37" spans="1:14" ht="20" customHeight="1">
      <c r="A37" s="4" t="s">
        <v>49</v>
      </c>
      <c r="B37" s="4" t="s">
        <v>8</v>
      </c>
      <c r="C37" s="22">
        <v>2</v>
      </c>
      <c r="D37" s="23">
        <v>2</v>
      </c>
      <c r="E37" s="12" t="s">
        <v>18</v>
      </c>
      <c r="F37" s="13" t="s">
        <v>18</v>
      </c>
      <c r="G37" s="41" t="s">
        <v>18</v>
      </c>
      <c r="H37" s="3" t="s">
        <v>18</v>
      </c>
      <c r="I37" s="3" t="s">
        <v>18</v>
      </c>
      <c r="J37" s="3">
        <v>1</v>
      </c>
      <c r="K37" s="25" t="s">
        <v>18</v>
      </c>
      <c r="L37" s="28" t="s">
        <v>18</v>
      </c>
      <c r="M37" s="26" t="s">
        <v>18</v>
      </c>
    </row>
    <row r="38" spans="1:14" ht="20" customHeight="1" thickBot="1">
      <c r="C38" s="21"/>
      <c r="D38" s="13"/>
      <c r="E38" s="12"/>
      <c r="F38" s="13"/>
      <c r="G38" s="12"/>
      <c r="H38" s="3"/>
      <c r="I38" s="3"/>
      <c r="J38" s="3"/>
      <c r="K38" s="13"/>
      <c r="L38" s="28"/>
      <c r="M38" s="3"/>
    </row>
    <row r="39" spans="1:14" ht="18" thickTop="1" thickBot="1">
      <c r="A39" t="s">
        <v>39</v>
      </c>
      <c r="C39" s="9">
        <f>SUM(C23:C37)</f>
        <v>176</v>
      </c>
      <c r="D39" s="9">
        <f>SUM(D23:D37)</f>
        <v>243</v>
      </c>
      <c r="E39" s="14"/>
      <c r="F39" s="15"/>
      <c r="G39" s="12"/>
      <c r="J39" s="9">
        <f>SUM(J23:J37)</f>
        <v>29</v>
      </c>
      <c r="K39" s="15"/>
      <c r="L39" s="19"/>
    </row>
    <row r="40" spans="1:14" ht="18" thickTop="1" thickBot="1">
      <c r="A40" t="s">
        <v>82</v>
      </c>
      <c r="C40" s="40">
        <f>1 - C39/D39</f>
        <v>0.27572016460905346</v>
      </c>
    </row>
    <row r="41" spans="1:14" ht="17" thickTop="1">
      <c r="C41" s="3"/>
      <c r="D41" s="3"/>
      <c r="E41" s="3"/>
      <c r="F41" s="3"/>
    </row>
    <row r="42" spans="1:14">
      <c r="A42" t="s">
        <v>60</v>
      </c>
      <c r="B42" t="s">
        <v>62</v>
      </c>
      <c r="C42" s="3" t="s">
        <v>24</v>
      </c>
      <c r="D42" s="31" t="s">
        <v>59</v>
      </c>
      <c r="E42" s="3" t="s">
        <v>65</v>
      </c>
      <c r="F42" s="3" t="s">
        <v>66</v>
      </c>
      <c r="G42" s="3" t="s">
        <v>68</v>
      </c>
      <c r="H42" s="2" t="s">
        <v>61</v>
      </c>
      <c r="I42" s="3" t="s">
        <v>30</v>
      </c>
    </row>
    <row r="43" spans="1:14" ht="20" customHeight="1">
      <c r="A43" s="4" t="s">
        <v>38</v>
      </c>
      <c r="B43" s="4" t="s">
        <v>8</v>
      </c>
      <c r="C43" s="5">
        <v>2</v>
      </c>
      <c r="D43" s="5">
        <f>SUM(Table5[[#This Row],[Fotobond]:[nonFotobond]])</f>
        <v>2</v>
      </c>
      <c r="E43" s="5">
        <v>0</v>
      </c>
      <c r="F43" s="5">
        <v>2</v>
      </c>
      <c r="G43" s="33" t="s">
        <v>67</v>
      </c>
      <c r="H43" s="3" t="s">
        <v>28</v>
      </c>
      <c r="I43" s="3"/>
    </row>
    <row r="44" spans="1:14" ht="20" customHeight="1">
      <c r="A44" t="s">
        <v>22</v>
      </c>
      <c r="B44" t="s">
        <v>26</v>
      </c>
      <c r="C44" s="5">
        <v>0</v>
      </c>
      <c r="D44" s="3">
        <f>SUM(Table5[[#This Row],[Fotobond]:[nonFotobond]])</f>
        <v>31</v>
      </c>
      <c r="E44" s="3">
        <v>31</v>
      </c>
      <c r="F44" s="3" t="s">
        <v>81</v>
      </c>
      <c r="G44" s="3" t="s">
        <v>81</v>
      </c>
    </row>
    <row r="45" spans="1:14" ht="20" customHeight="1">
      <c r="A45" t="s">
        <v>21</v>
      </c>
      <c r="B45" t="s">
        <v>57</v>
      </c>
      <c r="C45" s="3">
        <v>78</v>
      </c>
      <c r="D45" s="3">
        <f>SUM(Table5[[#This Row],[Fotobond]:[nonFotobond]])</f>
        <v>79</v>
      </c>
      <c r="E45" s="3">
        <v>29</v>
      </c>
      <c r="F45" s="3">
        <v>50</v>
      </c>
      <c r="G45" s="32">
        <f>Table5[[#This Row],[Fotobond]]/(Table5[[#This Row],[Fotobond]]+Table5[[#This Row],[nonFotobond]])</f>
        <v>0.36708860759493672</v>
      </c>
      <c r="H45" s="3" t="s">
        <v>28</v>
      </c>
      <c r="I45" s="3"/>
    </row>
    <row r="46" spans="1:14" ht="20" customHeight="1">
      <c r="A46" t="s">
        <v>23</v>
      </c>
      <c r="B46" t="s">
        <v>15</v>
      </c>
      <c r="C46" s="3">
        <v>10</v>
      </c>
      <c r="D46" s="3">
        <f>Table5[[#This Row],[Fotobond]]+Table5[[#This Row],[nonFotobond]]</f>
        <v>10</v>
      </c>
      <c r="E46" s="3">
        <v>6</v>
      </c>
      <c r="F46" s="3">
        <v>4</v>
      </c>
      <c r="G46" s="32">
        <f>Table5[[#This Row],[Fotobond]]/(Table5[[#This Row],[Fotobond]]+Table5[[#This Row],[nonFotobond]])</f>
        <v>0.6</v>
      </c>
      <c r="H46" s="3" t="s">
        <v>28</v>
      </c>
      <c r="I46" s="31" t="s">
        <v>69</v>
      </c>
    </row>
    <row r="47" spans="1:14" ht="17" thickBot="1">
      <c r="A47" s="4"/>
      <c r="B47" s="4"/>
      <c r="C47" s="5"/>
      <c r="D47" s="5"/>
      <c r="E47" s="5"/>
      <c r="F47" s="5"/>
    </row>
    <row r="48" spans="1:14" ht="18" thickTop="1" thickBot="1">
      <c r="A48" t="s">
        <v>39</v>
      </c>
      <c r="C48" s="9">
        <f>SUM(C44:C46)</f>
        <v>88</v>
      </c>
      <c r="D48" s="9">
        <f>SUM(D44:D46)</f>
        <v>120</v>
      </c>
      <c r="E48" s="9">
        <f>SUM(E44:E46)</f>
        <v>66</v>
      </c>
      <c r="F48" s="9">
        <f>SUM(F44:F46)</f>
        <v>54</v>
      </c>
    </row>
    <row r="49" spans="1:9" ht="18" thickTop="1" thickBot="1">
      <c r="A49" t="s">
        <v>83</v>
      </c>
      <c r="C49" s="40">
        <f>1 - C48/D48</f>
        <v>0.26666666666666672</v>
      </c>
      <c r="I49" t="s">
        <v>84</v>
      </c>
    </row>
    <row r="50" spans="1:9" ht="17" thickTop="1"/>
  </sheetData>
  <mergeCells count="3">
    <mergeCell ref="E21:F21"/>
    <mergeCell ref="G21:K21"/>
    <mergeCell ref="C21:D21"/>
  </mergeCells>
  <hyperlinks>
    <hyperlink ref="G24" r:id="rId1" display="incompleet" xr:uid="{6B877BCA-FAC0-CA45-A9F8-5DB8E2862E74}"/>
    <hyperlink ref="G30" r:id="rId2" xr:uid="{EA518462-58C1-0D43-AFAB-D0D435BCFCF8}"/>
    <hyperlink ref="G31" r:id="rId3" xr:uid="{D509616D-ADA9-DE4E-85FF-FE0FAAE01599}"/>
    <hyperlink ref="G34" r:id="rId4" xr:uid="{C029A8E2-CAAD-E34C-A625-21082F80D214}"/>
    <hyperlink ref="G25" r:id="rId5" xr:uid="{300B6D68-2854-B547-8455-4CF19B28FACA}"/>
    <hyperlink ref="G26" r:id="rId6" xr:uid="{64CE12B8-0756-494D-9F75-5BA28534233A}"/>
    <hyperlink ref="G27" r:id="rId7" xr:uid="{4FAAD59B-10D8-B041-B48F-94650351060E}"/>
    <hyperlink ref="G28" r:id="rId8" xr:uid="{3D6FECDE-2356-C54B-AD91-964D700B8CA2}"/>
    <hyperlink ref="G29" r:id="rId9" xr:uid="{16FF2E58-7A12-6C40-B212-0FFEAE348999}"/>
    <hyperlink ref="G32" r:id="rId10" xr:uid="{2844051E-41E4-F049-B6A5-3C772738F0F7}"/>
    <hyperlink ref="G33" r:id="rId11" xr:uid="{95C73904-B606-134B-98EE-809F1208E9C4}"/>
    <hyperlink ref="G35" r:id="rId12" xr:uid="{D27CFD2E-6D1C-B942-87DB-7A59EDCEE61A}"/>
    <hyperlink ref="G36" r:id="rId13" xr:uid="{4BFA2C99-59DE-554B-B537-03CA48FE83E5}"/>
    <hyperlink ref="G37" r:id="rId14" xr:uid="{AB835A00-2A8B-8C40-9BEE-3D0305CB9D21}"/>
    <hyperlink ref="G23" r:id="rId15" xr:uid="{A9A1726F-23F6-EA4D-A625-108B0892EFF4}"/>
  </hyperlinks>
  <pageMargins left="0.7" right="0.7" top="0.75" bottom="0.75" header="0.3" footer="0.3"/>
  <pageSetup paperSize="9" scale="53" orientation="landscape" horizontalDpi="0" verticalDpi="0" copies="6"/>
  <ignoredErrors>
    <ignoredError sqref="C48" formulaRange="1"/>
  </ignoredErrors>
  <legacyDrawing r:id="rId16"/>
  <tableParts count="3"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45AF-4003-DF44-A385-F311BDE5B817}">
  <dimension ref="A1:D35"/>
  <sheetViews>
    <sheetView workbookViewId="0">
      <selection activeCell="B11" sqref="A1:XFD1048576"/>
    </sheetView>
  </sheetViews>
  <sheetFormatPr baseColWidth="10" defaultRowHeight="16"/>
  <sheetData>
    <row r="1" spans="1:4" ht="18">
      <c r="A1" s="35"/>
      <c r="B1" s="34"/>
      <c r="C1" s="34"/>
      <c r="D1" s="35"/>
    </row>
    <row r="2" spans="1:4" ht="18">
      <c r="A2" s="35"/>
      <c r="B2" s="34"/>
      <c r="C2" s="34"/>
      <c r="D2" s="35"/>
    </row>
    <row r="3" spans="1:4" ht="18">
      <c r="A3" s="35"/>
      <c r="B3" s="34"/>
      <c r="C3" s="34"/>
      <c r="D3" s="35"/>
    </row>
    <row r="4" spans="1:4" ht="18">
      <c r="A4" s="35"/>
      <c r="B4" s="34"/>
      <c r="C4" s="34"/>
      <c r="D4" s="35"/>
    </row>
    <row r="5" spans="1:4" ht="21">
      <c r="A5" s="39"/>
      <c r="B5" s="34"/>
      <c r="C5" s="34"/>
      <c r="D5" s="35"/>
    </row>
    <row r="6" spans="1:4" ht="18">
      <c r="A6" s="35"/>
      <c r="B6" s="34"/>
      <c r="C6" s="34"/>
      <c r="D6" s="35"/>
    </row>
    <row r="7" spans="1:4" ht="21">
      <c r="A7" s="39"/>
      <c r="B7" s="34"/>
      <c r="C7" s="34"/>
      <c r="D7" s="35"/>
    </row>
    <row r="8" spans="1:4" ht="18">
      <c r="A8" s="35"/>
      <c r="B8" s="34"/>
      <c r="C8" s="34"/>
      <c r="D8" s="35"/>
    </row>
    <row r="9" spans="1:4" ht="18">
      <c r="A9" s="35"/>
      <c r="B9" s="34"/>
      <c r="C9" s="34"/>
      <c r="D9" s="35"/>
    </row>
    <row r="10" spans="1:4" ht="18">
      <c r="A10" s="35"/>
      <c r="B10" s="34"/>
      <c r="C10" s="34"/>
      <c r="D10" s="35"/>
    </row>
    <row r="11" spans="1:4" ht="21">
      <c r="A11" s="39"/>
      <c r="B11" s="34"/>
      <c r="C11" s="34"/>
      <c r="D11" s="35"/>
    </row>
    <row r="12" spans="1:4" ht="18">
      <c r="A12" s="35"/>
      <c r="B12" s="34"/>
      <c r="C12" s="34"/>
      <c r="D12" s="35"/>
    </row>
    <row r="13" spans="1:4" ht="18">
      <c r="A13" s="35"/>
      <c r="B13" s="34"/>
      <c r="C13" s="34"/>
      <c r="D13" s="35"/>
    </row>
    <row r="14" spans="1:4" ht="18">
      <c r="A14" s="35"/>
      <c r="B14" s="34"/>
      <c r="C14" s="34"/>
      <c r="D14" s="35"/>
    </row>
    <row r="15" spans="1:4" ht="21">
      <c r="A15" s="39"/>
      <c r="B15" s="34"/>
      <c r="C15" s="34"/>
      <c r="D15" s="34"/>
    </row>
    <row r="16" spans="1:4" ht="18">
      <c r="A16" s="35"/>
      <c r="B16" s="34"/>
      <c r="C16" s="34"/>
      <c r="D16" s="35"/>
    </row>
    <row r="17" spans="1:4" ht="18">
      <c r="A17" s="35"/>
      <c r="B17" s="34"/>
      <c r="C17" s="34"/>
      <c r="D17" s="35"/>
    </row>
    <row r="18" spans="1:4" ht="18">
      <c r="A18" s="35"/>
      <c r="B18" s="34"/>
      <c r="C18" s="34"/>
      <c r="D18" s="35"/>
    </row>
    <row r="19" spans="1:4" ht="18">
      <c r="A19" s="35"/>
      <c r="B19" s="34"/>
      <c r="C19" s="34"/>
      <c r="D19" s="35"/>
    </row>
    <row r="20" spans="1:4" ht="18">
      <c r="A20" s="35"/>
      <c r="B20" s="34"/>
      <c r="C20" s="34"/>
      <c r="D20" s="35"/>
    </row>
    <row r="21" spans="1:4" ht="18">
      <c r="A21" s="35"/>
      <c r="B21" s="34"/>
      <c r="C21" s="34"/>
      <c r="D21" s="35"/>
    </row>
    <row r="22" spans="1:4" ht="18">
      <c r="A22" s="35"/>
      <c r="B22" s="34"/>
      <c r="C22" s="34"/>
      <c r="D22" s="35"/>
    </row>
    <row r="23" spans="1:4" ht="21">
      <c r="A23" s="39"/>
      <c r="B23" s="34"/>
      <c r="C23" s="34"/>
      <c r="D23" s="35"/>
    </row>
    <row r="24" spans="1:4" ht="18">
      <c r="A24" s="35"/>
      <c r="B24" s="34"/>
      <c r="C24" s="34"/>
      <c r="D24" s="35"/>
    </row>
    <row r="25" spans="1:4" ht="18">
      <c r="A25" s="35"/>
      <c r="B25" s="34"/>
      <c r="C25" s="34"/>
      <c r="D25" s="35"/>
    </row>
    <row r="26" spans="1:4" ht="18">
      <c r="A26" s="35"/>
      <c r="B26" s="34"/>
      <c r="C26" s="34"/>
      <c r="D26" s="35"/>
    </row>
    <row r="27" spans="1:4" ht="18">
      <c r="A27" s="35"/>
      <c r="B27" s="34"/>
      <c r="C27" s="34"/>
      <c r="D27" s="35"/>
    </row>
    <row r="28" spans="1:4" ht="18">
      <c r="A28" s="35"/>
      <c r="B28" s="34"/>
      <c r="C28" s="34"/>
      <c r="D28" s="35"/>
    </row>
    <row r="29" spans="1:4" ht="18">
      <c r="A29" s="35"/>
      <c r="B29" s="34"/>
    </row>
    <row r="30" spans="1:4" ht="18">
      <c r="A30" s="35"/>
      <c r="B30" s="34"/>
      <c r="C30" s="34"/>
      <c r="D30" s="34"/>
    </row>
    <row r="31" spans="1:4" ht="21">
      <c r="A31" s="39"/>
    </row>
    <row r="32" spans="1:4">
      <c r="A32" s="35"/>
    </row>
    <row r="33" spans="1:1">
      <c r="A33" s="35"/>
    </row>
    <row r="34" spans="1:1" ht="21">
      <c r="A34" s="39"/>
    </row>
    <row r="35" spans="1:1">
      <c r="A35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cp:lastPrinted>2026-01-22T17:26:17Z</cp:lastPrinted>
  <dcterms:created xsi:type="dcterms:W3CDTF">2026-01-22T16:15:27Z</dcterms:created>
  <dcterms:modified xsi:type="dcterms:W3CDTF">2026-03-29T09:47:03Z</dcterms:modified>
</cp:coreProperties>
</file>